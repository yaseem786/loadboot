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6.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AY THIS NOW" sheetId="2" state="visible" r:id="rId4"/>
    <sheet name="SHORTLIST" sheetId="3" state="visible" r:id="rId5"/>
    <sheet name="RATE CALC" sheetId="4" state="visible" r:id="rId6"/>
    <sheet name="ALL LOADS" sheetId="5" state="visible" r:id="rId7"/>
    <sheet name="BROKER CRM" sheetId="6" state="visible" r:id="rId8"/>
    <sheet name="CALL LOG" sheetId="7" state="visible" r:id="rId9"/>
    <sheet name="CALL SCRIPTS" sheetId="8" state="visible" r:id="rId10"/>
    <sheet name="MESSAGES + EMAILS" sheetId="9" state="visible" r:id="rId11"/>
    <sheet name="CALL PLAN" sheetId="10" state="visible" r:id="rId12"/>
    <sheet name="COPY DECK" sheetId="11" state="visible" r:id="rId13"/>
    <sheet name="ANALYSIS" sheetId="12" state="visible" r:id="rId14"/>
  </sheets>
  <definedNames>
    <definedName function="false" hidden="true" localSheetId="4" name="_xlnm._FilterDatabase" vbProcedure="false">'ALL LOADS'!$A$4:$X$14</definedName>
    <definedName function="false" hidden="true" localSheetId="5" name="_xlnm._FilterDatabase" vbProcedure="false">'BROKER CRM'!$A$4:$T$12</definedName>
    <definedName function="false" hidden="true" localSheetId="6" name="_xlnm._FilterDatabase" vbProcedure="false">'CALL LOG'!$A$4:$M$72</definedName>
    <definedName function="false" hidden="true" localSheetId="8" name="_xlnm._FilterDatabase" vbProcedure="false">'MESSAGES + EMAILS'!$A$4:$J$14</definedName>
    <definedName function="false" hidden="true" localSheetId="2" name="_xlnm._FilterDatabase" vbProcedure="false">SHORTLIST!$A$4:$AE$11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Score out of 100, live: 30 pts all-in RPM quality (capped at $2.50/mi), 20 pts size of the net after fuel (capped at $2,500), 25 pts backhaul strength, 15 pts relationship value, 10 pts low timing risk. Edit any blue cell and it re-ranks.</t>
        </r>
      </text>
    </comment>
    <comment ref="S4" authorId="0">
      <text>
        <r>
          <rPr>
            <sz val="10"/>
            <rFont val="Arial"/>
            <family val="2"/>
          </rPr>
          <t xml:space="preserve">Formula: ROUNDUP(total miles x floor / 25) x 25. Floor lives on RATE CALC!C5.</t>
        </r>
      </text>
    </comment>
    <comment ref="T4" authorId="0">
      <text>
        <r>
          <rPr>
            <sz val="10"/>
            <rFont val="Arial"/>
            <family val="2"/>
          </rPr>
          <t xml:space="preserve">EDITABLE. This is the number to open at. Change it and the score, RPM and net all move.</t>
        </r>
      </text>
    </comment>
  </commentList>
</comments>
</file>

<file path=xl/sharedStrings.xml><?xml version="1.0" encoding="utf-8"?>
<sst xmlns="http://schemas.openxmlformats.org/spreadsheetml/2006/main" count="1410" uniqueCount="906">
  <si>
    <t xml:space="preserve">MUNSTER LOGISTICS LLC  -  LOAD DESK  -  Wed 9 Sep 2026</t>
  </si>
  <si>
    <t xml:space="preserve">Justin Munster  |  MC-84057665  |  USDOT 7555217  |  Domicile New Richmond, OH 45157  |  Built from 123Loadboard pulls dated Sep 8 and Sep 9, 2026</t>
  </si>
  <si>
    <t xml:space="preserve">THE TRUCK  -  read this out loud on every call</t>
  </si>
  <si>
    <t xml:space="preserve">Carrier</t>
  </si>
  <si>
    <t xml:space="preserve">Munster Logistics LLC  -  MC-84057665, USDOT 7555217</t>
  </si>
  <si>
    <t xml:space="preserve">Deck</t>
  </si>
  <si>
    <t xml:space="preserve">30 ft gooseneck (25 ft + 5 ft), 102 in wide, approx 34 in deck height</t>
  </si>
  <si>
    <t xml:space="preserve">Max payload</t>
  </si>
  <si>
    <t xml:space="preserve">9,000 lbs  -  HARD CEILING</t>
  </si>
  <si>
    <t xml:space="preserve">Hard reject rule</t>
  </si>
  <si>
    <t xml:space="preserve">Anything over 30 ft OR over 9,000 lbs = automatic no. Do not bid it.</t>
  </si>
  <si>
    <t xml:space="preserve">Securement</t>
  </si>
  <si>
    <t xml:space="preserve">Flat tarps, Grade 80 chains and binders, straps, mega ramps on board</t>
  </si>
  <si>
    <t xml:space="preserve">Insurance</t>
  </si>
  <si>
    <t xml:space="preserve">$1M auto liability, $100k cargo</t>
  </si>
  <si>
    <t xml:space="preserve">Home base</t>
  </si>
  <si>
    <t xml:space="preserve">New Richmond, OH 45157</t>
  </si>
  <si>
    <t xml:space="preserve">Hours rule</t>
  </si>
  <si>
    <t xml:space="preserve">Weekdays overnight OK. Weekends he must be home. (Owner rule, 28 Aug 2026)</t>
  </si>
  <si>
    <t xml:space="preserve">Authority age</t>
  </si>
  <si>
    <t xml:space="preserve">MC granted 7 Aug 2026. 180-day mark lands approx 3 Feb 2027.</t>
  </si>
  <si>
    <t xml:space="preserve">THE ONE QUESTION THAT SAVES THE MOST TIME</t>
  </si>
  <si>
    <t xml:space="preserve">Ask in the FIRST 30 SECONDS of every single call:  "Do you have a new-authority rule, and how many days?"
Munster's authority was granted 7 Aug 2026. Any broker running a 180-day rule structurally CANNOT use this truck until roughly 3 Feb 2027 (Sureway/ATS confirmed exactly this on 24 Aug, and said a Highway packet does not roll over for a new authority either).
Asking it first turns a four-minute hold into a ten-second disqualifier. Log the answer in the BROKER CRM tab - it never has to be asked twice.</t>
  </si>
  <si>
    <t xml:space="preserve">WHAT WAS APPLIED TO THIS SHORTLIST  -  your two answers</t>
  </si>
  <si>
    <t xml:space="preserve">Weekend rule</t>
  </si>
  <si>
    <t xml:space="preserve">STRICT. Only runs that deliver AND get him home by Fri 11 Sep night are shortlisted. Idaho and Maine went to REJECTED with the reason written out.</t>
  </si>
  <si>
    <t xml:space="preserve">Rate floor</t>
  </si>
  <si>
    <t xml:space="preserve">$2.00 per mile ALL-IN, i.e. deadhead miles + loaded miles. That is the real number he earns. Every load also shows loaded-only RPM so you can see both.</t>
  </si>
  <si>
    <t xml:space="preserve">Availability</t>
  </si>
  <si>
    <t xml:space="preserve">Justin is free from Wed 9 Sep. Backhaul: YES.</t>
  </si>
  <si>
    <t xml:space="preserve">THE ONE THING TO CHECK BEFORE ANY OF THIS IS REAL</t>
  </si>
  <si>
    <t xml:space="preserve">ONE load - L10, Freightwatch, Lexington OH to Channahon IL - is genuinely posted for a Sep 9 pickup. It is the only one with no rolling risk, and that is why it sits at rank 1. EVERY OTHER load here was posted for Sep 8, so the first thing on those calls is: "Is this still available, and can it pick up tomorrow?"  L3, L6 and L9 carry a hard 12:00 PM Sep 8 appointment - the highest-risk group.
Nothing here is a booking. Nothing was sent to any broker. Every message and call goes out from you.</t>
  </si>
  <si>
    <t xml:space="preserve">HOW TO READ THIS FILE</t>
  </si>
  <si>
    <t xml:space="preserve">Blue text cells</t>
  </si>
  <si>
    <t xml:space="preserve">You edit these. Target Ask, Walk-away, the 1-5 judgement scores, and everything in BROKER CRM / CALL LOG. Everything else recalculates itself.</t>
  </si>
  <si>
    <t xml:space="preserve">Yellow cells</t>
  </si>
  <si>
    <t xml:space="preserve">Assumptions that are NOT verified data (fuel price, MPG). Put Justin's real numbers in and the whole sheet updates.</t>
  </si>
  <si>
    <t xml:space="preserve">Blank / n/a</t>
  </si>
  <si>
    <t xml:space="preserve">Means genuinely unknown - it was not on the board and was not invented. Where a call is needed to fill it, the sheet says so.</t>
  </si>
  <si>
    <t xml:space="preserve">SHORTLIST</t>
  </si>
  <si>
    <t xml:space="preserve">Ranked call order. Change a Target Ask and the score, RPM and net re-rank in real time.</t>
  </si>
  <si>
    <t xml:space="preserve">RATE CALC</t>
  </si>
  <si>
    <t xml:space="preserve">Type any load's miles and any offer to see instantly whether it clears the floor.</t>
  </si>
  <si>
    <t xml:space="preserve">BROKER CRM</t>
  </si>
  <si>
    <t xml:space="preserve">One row per broker: contacts, what was said last time, how many times, when to chase next.</t>
  </si>
  <si>
    <t xml:space="preserve">CALL LOG</t>
  </si>
  <si>
    <t xml:space="preserve">Append-only history. The 24-25 Aug calls are already in there.</t>
  </si>
  <si>
    <t xml:space="preserve">COPY DECK</t>
  </si>
  <si>
    <t xml:space="preserve">THIS is the tab to copy from. Every message and email, one line per ROW, with the exact row numbers to select. Copying a whole message out of a single cell is what adds quote marks - this tab avoids that.</t>
  </si>
  <si>
    <t xml:space="preserve">MESSAGES + EMAILS</t>
  </si>
  <si>
    <t xml:space="preserve">Overview of the same messages: which channels each posting offers, the bid amount, how to play it. Read here, copy from COPY DECK.</t>
  </si>
  <si>
    <t xml:space="preserve">CALL SCRIPTS</t>
  </si>
  <si>
    <t xml:space="preserve">Word-for-word phone script, voicemail and email per broker. Drafts only - you send.</t>
  </si>
  <si>
    <t xml:space="preserve">ANALYSIS</t>
  </si>
  <si>
    <t xml:space="preserve">The charts: RPM against the floor, deadhead burden, and where the money actually is.</t>
  </si>
  <si>
    <t xml:space="preserve">SAY THIS NOW  -  Tuesday 8 Sep, word for word</t>
  </si>
  <si>
    <t xml:space="preserve">Left column is what you say, out loud, in this order. Right column is why that line is there, so you can hold your ground when they push.</t>
  </si>
  <si>
    <t xml:space="preserve">SAY THIS  (word for word)</t>
  </si>
  <si>
    <t xml:space="preserve">WHY THIS LINE IS HERE</t>
  </si>
  <si>
    <t xml:space="preserve">THE GATE  -  ask this FIRST on every call from now on</t>
  </si>
  <si>
    <t xml:space="preserve">Both of today's best loads were lost to onboarding rules, not rate. Never discuss a rate before this is answered.</t>
  </si>
  <si>
    <t xml:space="preserve">Venture's bot haggled price for twelve hours on loads their compliance side could never have set us up for. Freightwatch blocked us on a 1-year rule. Ten seconds of qualifying would have saved the whole night.</t>
  </si>
  <si>
    <t xml:space="preserve">"Hi, this is Yaseen with Munster Logistics, MC 84057665 - 30 foot hotshot gooseneck out of New Richmond, Ohio."</t>
  </si>
  <si>
    <t xml:space="preserve">Name, MC, equipment. They know instantly you are a real carrier.</t>
  </si>
  <si>
    <t xml:space="preserve">"Before we talk about any load, two quick qualifying questions so I don't waste your time."</t>
  </si>
  <si>
    <t xml:space="preserve">Framing it as saving THEIR time is why nobody minds being asked.</t>
  </si>
  <si>
    <t xml:space="preserve">"Do you have a minimum time-in-business or new-authority requirement? Ours was granted 7 August this year."</t>
  </si>
  <si>
    <t xml:space="preserve">Freightwatch wanted 1 year. Sureway wanted 180 days. This is the single most common wall for a 32-day-old authority.</t>
  </si>
  <si>
    <t xml:space="preserve">"And do you accept Progressive insurance? We carry $1M auto liability and $100k cargo."</t>
  </si>
  <si>
    <t xml:space="preserve">Venture refused on exactly this. Rare, but it costs nothing to ask and it ends the call early when it is a no.</t>
  </si>
  <si>
    <t xml:space="preserve">IF EITHER IS A NO  -&gt;  "Understood, thanks for telling me straight. When does that open up for us?" Write the date down.</t>
  </si>
  <si>
    <t xml:space="preserve">A clean early no is worth more than a long maybe. And the date tells you when to come back.</t>
  </si>
  <si>
    <t xml:space="preserve">THEN ALWAYS ASK THIS  -&gt;  "Last thing, and I'd really appreciate it - who do you know that DOES work with newer authorities? Any broker or agent you'd point me at?"</t>
  </si>
  <si>
    <t xml:space="preserve">This is the highest-value sentence of a losing call. Brokers all know each other, they lose nothing by naming one, and most people want to be helpful after saying no. It turns a dead end into a lead - and right now leads are worth more than loads.</t>
  </si>
  <si>
    <t xml:space="preserve">IF BOTH ARE YES  -&gt;  now, and only now, talk about the load.</t>
  </si>
  <si>
    <t xml:space="preserve">From here the rate conversation is real, because they can actually use you.</t>
  </si>
  <si>
    <t xml:space="preserve">CALL NOW  -  FIFTH WHEEL FREIGHT   (616) 965-7277   ext 8530</t>
  </si>
  <si>
    <t xml:space="preserve">They did not answer at 08:10. On 24 Aug the live person came later in the morning, so keep trying to about 09:00.</t>
  </si>
  <si>
    <t xml:space="preserve">This is still the highest-value relationship on the board - they post more Munster-sized hotshot freight than anyone else.</t>
  </si>
  <si>
    <t xml:space="preserve">[THE GATE - both questions above, before anything else.]</t>
  </si>
  <si>
    <t xml:space="preserve">They transferred straight to compliance on 24 Aug, which means they do screen. Find out now.</t>
  </si>
  <si>
    <t xml:space="preserve">"I'm on your reference 758397, Huntington West Virginia to Sparrows Point Maryland - 11 feet, 6,000 pounds. Is it still open, and can it load tomorrow the 9th?"</t>
  </si>
  <si>
    <t xml:space="preserve">Justin is free from tomorrow, and this was posted for the 8th.</t>
  </si>
  <si>
    <t xml:space="preserve">"It's posted at $900. I've got 106 miles of deadhead just to reach Huntington, so that's 523 total miles - $1.72 a mile, and I can't cover the truck at that. At $1,300 I'll take it."</t>
  </si>
  <si>
    <t xml:space="preserve">Same arithmetic as always: the empty miles to the shipper are real and they are yours.</t>
  </si>
  <si>
    <t xml:space="preserve">WALK AWAY AT $1,075.</t>
  </si>
  <si>
    <t xml:space="preserve">Below that it stops clearing $2.00 a mile all-in.</t>
  </si>
  <si>
    <t xml:space="preserve">"Yes, we'll accept MacroPoint - confirm the number it should go to."</t>
  </si>
  <si>
    <t xml:space="preserve">Their posting requires it. Saying yes before they ask removes an objection.</t>
  </si>
  <si>
    <t xml:space="preserve">"And while I have you - extension 8550 has reference 757767, Fort Wayne to Cedar Point Kansas. $1,400 doesn't work; Cedar Point leaves me empty a long way. At $2,000 I'll cover it."</t>
  </si>
  <si>
    <t xml:space="preserve">ONE call, BOTH loads. Do not ring them twice - it wastes their time and yours.</t>
  </si>
  <si>
    <t xml:space="preserve">"Last thing - can you get our truck on your list? 30 foot deck, 9,000 pounds, tarps and Grade 80 on board, empty out of Cincinnati most weekday mornings."</t>
  </si>
  <si>
    <t xml:space="preserve">This sentence is worth more than either load. They post this size of freight constantly.</t>
  </si>
  <si>
    <t xml:space="preserve">09:00 ET  -  TRANSPORTATION EXPRESS   (402) 564-6375   (Nebraska, 08:00 there)</t>
  </si>
  <si>
    <t xml:space="preserve">"Hi, this is Yaseen with Munster Logistics. Back on the 24th of August someone there asked us to have a live person call - and that call never came. That's on us, and I'm the live person. I'm sorry it took this long."</t>
  </si>
  <si>
    <t xml:space="preserve">Open by owning it. A human there asked for a human and got silence - this is the sentence that reopens the door.</t>
  </si>
  <si>
    <t xml:space="preserve">[THEN THE GATE - time-in-business, and Progressive.]</t>
  </si>
  <si>
    <t xml:space="preserve">Even on a repair call, qualify before you quote.</t>
  </si>
  <si>
    <t xml:space="preserve">"You've got Piqua Ohio to Pineville North Carolina, 4 feet and 2,900 pounds. Is it still open for a Wednesday pickup? There's no rate on the posting - what are you paying on it?"</t>
  </si>
  <si>
    <t xml:space="preserve">No rate is published, so ask and then STAY QUIET. Let them name a number first.</t>
  </si>
  <si>
    <t xml:space="preserve">"That's only 4 feet of my 30 foot deck. If you've got a second partial going the same direction I'll take both on one truck - cheaper for you than two carriers. Piqua is only 82 miles from me so I can be there early."</t>
  </si>
  <si>
    <t xml:space="preserve">Lowest deadhead on the whole board, and a 30 ft deck carrying 4 ft is mostly empty. Two partials is a real offer, not a pitch.</t>
  </si>
  <si>
    <t xml:space="preserve">TARGET $1,300.  WALK AWAY AT $1,150.</t>
  </si>
  <si>
    <t xml:space="preserve">581 total miles. $1,150 is roughly break-even at $2.00 all-in.</t>
  </si>
  <si>
    <t xml:space="preserve">09:00 ET  -  JOE TEX, INC.   (903) 537-7100   (Texas, 08:00 there)</t>
  </si>
  <si>
    <t xml:space="preserve">"Hi, could I speak with Angie please?"</t>
  </si>
  <si>
    <t xml:space="preserve">ASK FOR HER BY NAME. Two calls have already died in this company's IVR - working the menu has failed twice.</t>
  </si>
  <si>
    <t xml:space="preserve">"I'm looking at reference 519281, Muncie Indiana to Decatur Illinois - 20 feet, 8,000 pounds. Is it still open for a Wednesday pickup, and is 8,000 pounds the real weight? My hard ceiling is 9,000."</t>
  </si>
  <si>
    <t xml:space="preserve">8,000 is close to the limit. Confirm it before agreeing anything - an overweight surprise at the shipper is a wasted day.</t>
  </si>
  <si>
    <t xml:space="preserve">"There's no rate posted - what are you paying? ... It's 109 miles of deadhead to Muncie and 215 loaded, so 324 total. I need $850 to make that work."</t>
  </si>
  <si>
    <t xml:space="preserve">Short run, so the deadhead is a big share of it - 109 empty miles against 215 paid.</t>
  </si>
  <si>
    <t xml:space="preserve">WALK AWAY AT $675.</t>
  </si>
  <si>
    <t xml:space="preserve">324 total miles at $2.00 all-in is $650.</t>
  </si>
  <si>
    <t xml:space="preserve">"One admin point - our records show a 'Joe Tex LLC' and the board says 'Joe Tex, Inc.' Same company?"</t>
  </si>
  <si>
    <t xml:space="preserve">Worth ten seconds so the CRM is filed under the right name.</t>
  </si>
  <si>
    <t xml:space="preserve">ANY TIME  -  RELATIONSHIP CALLS, no load attached</t>
  </si>
  <si>
    <t xml:space="preserve">WHITEWATER FREIGHT  (812) 637-1720  -  [THE GATE], then: "I'm not calling about a specific load. You post partials regularly and that's exactly what this truck is built for - 10 to 30 feet, up to 9,000 pounds, empty out of Cincinnati most weekday mornings. Can you put us on your list, and what does your setup packet need?"</t>
  </si>
  <si>
    <t xml:space="preserve">Their Maine load is priced wrong, but the broker TYPE is a very good match. Play the relationship, not the load.</t>
  </si>
  <si>
    <t xml:space="preserve">WARREN TRANSPORT  (800) 206-7980  -  "Your posting 1181425 shows no length and no weight. What are they actually? We run a 30 foot deck at 9,000 pounds max."</t>
  </si>
  <si>
    <t xml:space="preserve">Lowest priority. The Idaho run breaks the weekend-home rule anyway - this is one question, not a pitch.</t>
  </si>
  <si>
    <t xml:space="preserve">AFTER EVERY CALL  -  three things</t>
  </si>
  <si>
    <t xml:space="preserve">Who you spoke to  ·  what they said about the GATE (time-in-business + Progressive)  ·  any rate they named.</t>
  </si>
  <si>
    <t xml:space="preserve">The gate answers are now the most valuable thing you can collect. They are permanent - a broker's onboarding rule does not change week to week, so every answer saves a future call.</t>
  </si>
  <si>
    <t xml:space="preserve">And it is fine if today produces no load.</t>
  </si>
  <si>
    <t xml:space="preserve">Two doors shut on onboarding rules, not on anything you did. A 32-day-old authority hits this wall - it was written down on 24 August. What today buys is a map of who can actually use this truck.</t>
  </si>
  <si>
    <t xml:space="preserve">SHORTLIST  -  call these, in this order</t>
  </si>
  <si>
    <t xml:space="preserve">Strict weekend-home rule applied  |  $2.00/mi ALL-IN floor  |  Every load below fits the 30 ft / 9,000 lb deck  |  L10 is a real Sep 9 pickup - the other six are Sep 8 postings that must be talked into rolling a day</t>
  </si>
  <si>
    <t xml:space="preserve">Rank</t>
  </si>
  <si>
    <t xml:space="preserve">Score</t>
  </si>
  <si>
    <t xml:space="preserve">ID</t>
  </si>
  <si>
    <t xml:space="preserve">Broker</t>
  </si>
  <si>
    <t xml:space="preserve">Origin</t>
  </si>
  <si>
    <t xml:space="preserve">Destination</t>
  </si>
  <si>
    <t xml:space="preserve">Pickup</t>
  </si>
  <si>
    <t xml:space="preserve">Appt</t>
  </si>
  <si>
    <t xml:space="preserve">DH mi</t>
  </si>
  <si>
    <t xml:space="preserve">Loaded mi</t>
  </si>
  <si>
    <t xml:space="preserve">Total mi</t>
  </si>
  <si>
    <t xml:space="preserve">Equip</t>
  </si>
  <si>
    <t xml:space="preserve">Size</t>
  </si>
  <si>
    <t xml:space="preserve">Len ft</t>
  </si>
  <si>
    <t xml:space="preserve">Weight lbs</t>
  </si>
  <si>
    <t xml:space="preserve">Posted $</t>
  </si>
  <si>
    <t xml:space="preserve">Posted $/mi (loaded)</t>
  </si>
  <si>
    <t xml:space="preserve">123LB Rate Check $</t>
  </si>
  <si>
    <t xml:space="preserve">Floor ask @ $2.00 all-in</t>
  </si>
  <si>
    <t xml:space="preserve">TARGET ASK $</t>
  </si>
  <si>
    <t xml:space="preserve">Walk-away $</t>
  </si>
  <si>
    <t xml:space="preserve">All-in $/mi at target</t>
  </si>
  <si>
    <t xml:space="preserve">Loaded $/mi at target</t>
  </si>
  <si>
    <t xml:space="preserve">Est. fuel $</t>
  </si>
  <si>
    <t xml:space="preserve">Net after fuel $</t>
  </si>
  <si>
    <t xml:space="preserve">Backhaul 1-5</t>
  </si>
  <si>
    <t xml:space="preserve">Relationship 1-5</t>
  </si>
  <si>
    <t xml:space="preserve">Timing risk 1-5</t>
  </si>
  <si>
    <t xml:space="preserve">Fit check</t>
  </si>
  <si>
    <t xml:space="preserve">Why it made the list / watch-outs</t>
  </si>
  <si>
    <t xml:space="preserve">First question on the call</t>
  </si>
  <si>
    <t xml:space="preserve">L10</t>
  </si>
  <si>
    <t xml:space="preserve">Freightwatch, LLC</t>
  </si>
  <si>
    <t xml:space="preserve">Lexington, OH</t>
  </si>
  <si>
    <t xml:space="preserve">Channahon, IL</t>
  </si>
  <si>
    <t xml:space="preserve">Sep 9</t>
  </si>
  <si>
    <t xml:space="preserve">Flatbed (Hot shot)</t>
  </si>
  <si>
    <t xml:space="preserve">TL</t>
  </si>
  <si>
    <t xml:space="preserve">DEAD 8 Sep - broker will not work with a carrier under 1 year in business. Nothing to do with the truck.</t>
  </si>
  <si>
    <t xml:space="preserve">BLOCKED ON 8 SEP: Freightwatch said by phone they do not onboard carriers under one year in business. Munster's authority is 32 days old, so this is shut until roughly 7 Aug 2027. Everything below was true and is why it hurts - the rate was never the problem. The only load on the board posted for Sep 9, so there was no 'will it roll?' risk at all - this is the one that matches Justin's availability exactly. Channahon IL sits in the Chicago metro, which is the strongest backhaul market on this list and already a saved search (MUNSTER BACK-CHI). Delivers Sep 10, home well before Saturday. Posted $800 = $1.56/mi all-in, under floor, but 123LB's own Rate Check says $1,287 so the money is there. THE ONE RISK: a steel stair system with no length posted could easily run past 30 ft - that question decides everything.</t>
  </si>
  <si>
    <t xml:space="preserve">Steel stair system ki overall LENGTH kya hai? Posting par blank hai aur mera deck 30 ft ka hai.</t>
  </si>
  <si>
    <t xml:space="preserve">L3</t>
  </si>
  <si>
    <t xml:space="preserve">Venture Connect LLC</t>
  </si>
  <si>
    <t xml:space="preserve">Shelbyville, IN</t>
  </si>
  <si>
    <t xml:space="preserve">Stanhope, NJ</t>
  </si>
  <si>
    <t xml:space="preserve">Sep 8</t>
  </si>
  <si>
    <t xml:space="preserve">12:00 PM</t>
  </si>
  <si>
    <t xml:space="preserve">DEAD 8 Sep - Venture will not set up a carrier insured by Progressive. Truck and schedule are irrelevant now.</t>
  </si>
  <si>
    <t xml:space="preserve">DEAD 8 Sep: Venture said by phone they cannot set Munster up because the insurance is PROGRESSIVE. Everything below happened before that was known, and is kept because of what it teaches: their automated layer negotiated price for twelve hours on a load the company could never have given us. HISTORY: Two replies came back from loads@ventureconnect.mail.parade.ai. Both held at $1,400 ('I've got some lower offers' then 'Load's getting a lot of attention'), both repeated the SAME confirmation block word for word, and both ignored every question asked. That address is Parade, a broker automation platform - this is an automated quoting channel, so it can move a price and nothing else. It cannot move an appointment and it cannot tell you the fine amount. THE CLOCK IS THE REAL BLOCKER: pickup 09/08 1200 EDT, deliver 09/09 0800-1000 EDT, 655 loaded mi. At the ~53 mph 123Loadboard's own postings imply that is 12.4 h driving, over the 11-hour solo limit, so it splits with a 10-hour break and arrival lands at roughly pickup + 23 h = about 1050, missing the window by ~50 minutes. $1,400 over 747 total mi is $1.87/mi all-in, under floor, before PA Turnpike tolls. RECOMMENDATION: do not accept by email. Either phone (317) 854-5027 and get a human to move the pickup to 1100 (or delivery to 1100-1200) AND put the fine amount in writing, or let it go and put the time into L10.</t>
  </si>
  <si>
    <t xml:space="preserve">PHONE ONLY from here: (317) 854-5027 - pickup 1100 tak move hogi? Fine kitne ka hai? Email par ye jawab nahi milenge.</t>
  </si>
  <si>
    <t xml:space="preserve">L6</t>
  </si>
  <si>
    <t xml:space="preserve">Fifth Wheel Freight</t>
  </si>
  <si>
    <t xml:space="preserve">Huntington, WV</t>
  </si>
  <si>
    <t xml:space="preserve">Sparrows Point, MD</t>
  </si>
  <si>
    <t xml:space="preserve">Step deck</t>
  </si>
  <si>
    <t xml:space="preserve">LTL</t>
  </si>
  <si>
    <t xml:space="preserve">FITS - 11 ft, 6,000 lbs on a 30 ft deck</t>
  </si>
  <si>
    <t xml:space="preserve">Fifth Wheel is the #1 relationship to build (22 Aug: posts the most Munster-sized hotshot freight). Short 417 mi run, Baltimore is a live backhaul market, home well before the weekend. Posted $900 = $1.72/mi all-in, under floor - rate has to move. MacroPoint tracking required.</t>
  </si>
  <si>
    <t xml:space="preserve">Ext 8530 - kal Sep 9 pickup chalegi? Aur aapka new-authority rule kitne din ka hai?</t>
  </si>
  <si>
    <t xml:space="preserve">L1</t>
  </si>
  <si>
    <t xml:space="preserve">Transportation Express American Motorways Inc.</t>
  </si>
  <si>
    <t xml:space="preserve">Piqua, OH</t>
  </si>
  <si>
    <t xml:space="preserve">Pineville, NC</t>
  </si>
  <si>
    <t xml:space="preserve">Flatbed / Step deck</t>
  </si>
  <si>
    <t xml:space="preserve">FITS - only 4 ft / 2,900 lbs, huge deck left over</t>
  </si>
  <si>
    <t xml:space="preserve">RELATIONSHIP REPAIR: 24 Aug a human here asked 'can you have a live person call me?' and nobody ever called back. This is the call to fix that. Lowest deadhead on the board (82 mi). Only 4 ft of deck used, so it can be co-loaded with a second partial. Rate is NOT posted - it must be asked for.</t>
  </si>
  <si>
    <t xml:space="preserve">24 August ko aap ne live person maanga tha - main woh person hoon, maaf kijiye der ke liye. Rate kya hai is load par?</t>
  </si>
  <si>
    <t xml:space="preserve">L7</t>
  </si>
  <si>
    <t xml:space="preserve">Joe Tex, Inc.</t>
  </si>
  <si>
    <t xml:space="preserve">Muncie, IN</t>
  </si>
  <si>
    <t xml:space="preserve">Decatur, IL</t>
  </si>
  <si>
    <t xml:space="preserve">Flatbed</t>
  </si>
  <si>
    <t xml:space="preserve">DEAD 8 Sep - Joe Tex requires 6 months in business. Opens ~7 Feb 2027.</t>
  </si>
  <si>
    <t xml:space="preserve">BLOCKED 8 Sep on a 6-month time-in-business rule - the same wall as Sureway's 180 days, and it lands on the same date. HISTORY, all still true for February: short 215 mi hop, easily a same-day. Decatur IL feeds both saved backhaul searches (BACK-CHI and BACK-IND). Rate NOT posted. Riley died in this broker's IVR twice (24 Aug and a queued 25 Aug call) - a human dialling and asking for Angie by name is the whole unlock. Weight is close to the ceiling: confirm 8,000 lbs is the real number.</t>
  </si>
  <si>
    <t xml:space="preserve">Angie se baat karni hai - Muncie to Decatur load par rate kya hai, aur 180-day rule?</t>
  </si>
  <si>
    <t xml:space="preserve">L9</t>
  </si>
  <si>
    <t xml:space="preserve">Fort Wayne, IN</t>
  </si>
  <si>
    <t xml:space="preserve">Cedar Point, KS</t>
  </si>
  <si>
    <t xml:space="preserve">FITS - 14 ft, 6,033 lbs</t>
  </si>
  <si>
    <t xml:space="preserve">Only reason it is on the list is Fifth Wheel relationship value. Posted $1,400 = $1.54/mi all-in, well under floor. Cedar Point KS is rural - the backhaul out of there is thin, so the rate has to carry the empty miles home. Take it only if they move to $2,000+.</t>
  </si>
  <si>
    <t xml:space="preserve">Ext 8550 - $1,400 Kansas ke liye kaam nahi karta, $2,000 par kya khayal hai?</t>
  </si>
  <si>
    <t xml:space="preserve">L4</t>
  </si>
  <si>
    <t xml:space="preserve">Selmer, TN</t>
  </si>
  <si>
    <t xml:space="preserve">DEAD 8 Sep - same as L3. Venture refused on Progressive insurance, so the carrier was never eligible.</t>
  </si>
  <si>
    <t xml:space="preserve">DEAD 8 Sep on the same Progressive refusal as L3. Kept because the analysis was right and will apply to the next load like it. HISTORY: the clock on this one actually worked, unlike L3. Broker confirmed 8 Sep: pickup Shelbyville 09/08 between 1100 and 1400 EDT (a three-hour WINDOW, not a fixed appointment), delivery Selmer TN 09/09 between 0800 and 1000 CDT - and Central time gives back an hour. 417 loaded mi is 8h50m by the board's own figure, so no 11-hour problem on the load itself; even at the latest 1400 pickup he arrives Selmer around 2220 CDT and waits overnight for the window. He can also split it 8 h / 10 h off / finish in the morning and land about 0635 CDT with plenty of margin. TWO REAL CATCHES: (1) 92 mi deadhead plus 417 loaded is 10.78 h total driving - only 13 minutes under the 11-hour limit if he runs it in one shift, so any hold-up at loading forces the split; (2) $900 over 509 total mi is $1.77/mi all-in, under floor - it needs $1,025 just to reach $2.00. Note this posting has NO tracking requirement, unlike L3. 8 Sep UPDATE: countered at $1,150 and the bot came back holding at $900 (its words: other offers lower than that, meet me at $900 and it is yours). It has not moved and it has now ignored the fine question four times across both loads. AT $900 THIS IS $1.77/mi ALL-IN - $125 under break-even, netting roughly $712 before tolls for a day and a half with an overnight - and it carries an unquantified late-delivery fine on a jobsite. Compare L10: near-identical 513 total miles, $1,300, a Sep 9 pickup, no fine at all.</t>
  </si>
  <si>
    <t xml:space="preserve">Fine kitne ka hai? Ye char dafa poocha ja chuka hai aur jawab nahi aaya - price se pehle YEHI chahiye.</t>
  </si>
  <si>
    <t xml:space="preserve">REJECTED  -  and exactly why</t>
  </si>
  <si>
    <t xml:space="preserve">Lane</t>
  </si>
  <si>
    <t xml:space="preserve">All-in $/mi at posted</t>
  </si>
  <si>
    <t xml:space="preserve">Verdict</t>
  </si>
  <si>
    <t xml:space="preserve">Reason - the honest version</t>
  </si>
  <si>
    <t xml:space="preserve">L2</t>
  </si>
  <si>
    <t xml:space="preserve">Warren Transport, Inc.</t>
  </si>
  <si>
    <t xml:space="preserve">Union City, IN  -&gt;  Heyburn, ID</t>
  </si>
  <si>
    <t xml:space="preserve">NO - weekend-home rule + spec unconfirmed</t>
  </si>
  <si>
    <t xml:space="preserve">1,775 mi one-way to Idaho. Leaving Wed 9 Sep he cannot deliver and be home by Saturday - that breaks the 28 Aug rule (weekdays overnight OK, weekends must be home). Also: the board shows length and weight as BLANK, and a TL flatbed at 15 pieces is almost certainly a 48/53 ft trailer load, not a 30 ft deck. Market $4,818 / $2.71 per mi is the best gross on the board - if the weekend rule ever flexes, this is the one to re-open, but ONLY after confirming length and weight.</t>
  </si>
  <si>
    <t xml:space="preserve">L5</t>
  </si>
  <si>
    <t xml:space="preserve">Fenichey LLC</t>
  </si>
  <si>
    <t xml:space="preserve">Louisville, KY  -&gt;  Newington, CT</t>
  </si>
  <si>
    <t xml:space="preserve">HARD NO - truck spec</t>
  </si>
  <si>
    <t xml:space="preserve">Load note is explicit: 'Dedicated 48 or 53' stepdeck with chains and straps required' plus FULL TARPING. Justin runs a 30 ft gooseneck deck. This is an automatic reject regardless of the $2,900 / $3.34 per mi. Do not bid.</t>
  </si>
  <si>
    <t xml:space="preserve">L8</t>
  </si>
  <si>
    <t xml:space="preserve">Whitewater Freight Inc</t>
  </si>
  <si>
    <t xml:space="preserve">Pandora, OH  -&gt;  Easton, ME</t>
  </si>
  <si>
    <t xml:space="preserve">NO - rate + dead-end backhaul + weekend</t>
  </si>
  <si>
    <t xml:space="preserve">Fits the deck (15 ft / 750 lbs) but $1,850 over 1,261 total miles is $1.47/mi all-in, far under the $2.00 floor. Easton ME is deep north-east Maine - one of the worst backhaul markets in the country, so the empty miles home are on Justin. And it cannot be delivered and back before Saturday. Would need roughly $2,525 just to hit the floor before the empty return is even counted.</t>
  </si>
  <si>
    <t xml:space="preserve">RATE CALCULATOR  -  live</t>
  </si>
  <si>
    <t xml:space="preserve">Change any blue cell. Everything else updates instantly. Yellow = assumption, replace with Justin's real numbers.</t>
  </si>
  <si>
    <t xml:space="preserve">GLOBAL SETTINGS</t>
  </si>
  <si>
    <t xml:space="preserve">Rate floor ($ per mile, ALL-IN)</t>
  </si>
  <si>
    <t xml:space="preserve">Your instruction, 8 Sep 2026. Matches Munster's 123LB truck post #6978096 ($2.00/mi).</t>
  </si>
  <si>
    <t xml:space="preserve">Truck MPG (loaded)</t>
  </si>
  <si>
    <t xml:space="preserve">ASSUMPTION - not verified. Put Justin's real loaded MPG here.</t>
  </si>
  <si>
    <t xml:space="preserve">Diesel price ($ per gallon)</t>
  </si>
  <si>
    <t xml:space="preserve">ASSUMPTION - not verified. Put today's real pump price here.</t>
  </si>
  <si>
    <t xml:space="preserve">WHAT-IF: is this offer any good?</t>
  </si>
  <si>
    <t xml:space="preserve">Deadhead mi</t>
  </si>
  <si>
    <t xml:space="preserve">Offer on the table $</t>
  </si>
  <si>
    <t xml:space="preserve">All-in $/mi</t>
  </si>
  <si>
    <t xml:space="preserve">Loaded $/mi</t>
  </si>
  <si>
    <t xml:space="preserve">Reminder: the floor is measured on TOTAL miles (deadhead + loaded), because that is what the truck actually turns. A load that looks like $2.16/mi on loaded miles alone can still be $1.72/mi in real life once the empty run to the shipper is counted.</t>
  </si>
  <si>
    <t xml:space="preserve">ALL 10 LOADS  -  exactly as the board showed them</t>
  </si>
  <si>
    <t xml:space="preserve">123Loadboard pulls, Sep 8 and Sep 9 2026. Nothing added, nothing guessed. A blank cell means the board did not show a value - L2's length and weight and L10's length really are blank on the posting.</t>
  </si>
  <si>
    <t xml:space="preserve">Distance mi</t>
  </si>
  <si>
    <t xml:space="preserve">Driving time</t>
  </si>
  <si>
    <t xml:space="preserve">Trailer type</t>
  </si>
  <si>
    <t xml:space="preserve">Load size</t>
  </si>
  <si>
    <t xml:space="preserve">Length ft</t>
  </si>
  <si>
    <t xml:space="preserve">Posted rate $</t>
  </si>
  <si>
    <t xml:space="preserve">Posted $/mi</t>
  </si>
  <si>
    <t xml:space="preserve">Rate Check $/mi</t>
  </si>
  <si>
    <t xml:space="preserve">Item</t>
  </si>
  <si>
    <t xml:space="preserve">Ref #</t>
  </si>
  <si>
    <t xml:space="preserve">Contact name</t>
  </si>
  <si>
    <t xml:space="preserve">Email</t>
  </si>
  <si>
    <t xml:space="preserve">Phone</t>
  </si>
  <si>
    <t xml:space="preserve">Contact options on the posting</t>
  </si>
  <si>
    <t xml:space="preserve">Load note (verbatim)</t>
  </si>
  <si>
    <t xml:space="preserve">9h 22m</t>
  </si>
  <si>
    <t xml:space="preserve">Dispatch</t>
  </si>
  <si>
    <t xml:space="preserve">(402) 564-6375</t>
  </si>
  <si>
    <t xml:space="preserve">Phone only  (no Message / Bid / email on the posting)</t>
  </si>
  <si>
    <t xml:space="preserve">CALL</t>
  </si>
  <si>
    <t xml:space="preserve">Union City, IN</t>
  </si>
  <si>
    <t xml:space="preserve">Heyburn, ID</t>
  </si>
  <si>
    <t xml:space="preserve">32h 44m</t>
  </si>
  <si>
    <t xml:space="preserve">1181425</t>
  </si>
  <si>
    <t xml:space="preserve">Angie, Erica, Michele, Ken</t>
  </si>
  <si>
    <t xml:space="preserve">loads@warrentransport.com</t>
  </si>
  <si>
    <t xml:space="preserve">(800) 206-7980</t>
  </si>
  <si>
    <t xml:space="preserve">Phone + Email + Message  (no Bid)</t>
  </si>
  <si>
    <t xml:space="preserve">Flat w/ tarps or conestoga. Qty 15.</t>
  </si>
  <si>
    <t xml:space="preserve">CONSTRUCTION MATERIALS</t>
  </si>
  <si>
    <t xml:space="preserve">2177463-2099008</t>
  </si>
  <si>
    <t xml:space="preserve">loadpostings+123lb@venturelogistics.com</t>
  </si>
  <si>
    <t xml:space="preserve">(317) 854-5027</t>
  </si>
  <si>
    <t xml:space="preserve">Phone + Email + Message + BID</t>
  </si>
  <si>
    <t xml:space="preserve">FINES FOR LATE DELIVERY. 27 ft of space. Check in 30 min prior. NO TARPS. Jobsite - check in with broker name TRANSCOR / pickup number. Hard hat, hi-viz vest, closed-toe shoes. Tracking Required = True. Deliver Sep 9.</t>
  </si>
  <si>
    <t xml:space="preserve">8h 50m</t>
  </si>
  <si>
    <t xml:space="preserve">2178262-2099817</t>
  </si>
  <si>
    <t xml:space="preserve">FINES FOR LATE DELIVERY. 20 ft of space. NO TARPS. Jobsite - check in with broker name TRANSCOR / pickup number. Hard hat, hi-viz, closed-toe shoes. Deliver Sep 9.</t>
  </si>
  <si>
    <t xml:space="preserve">Louisville, KY</t>
  </si>
  <si>
    <t xml:space="preserve">Newington, CT</t>
  </si>
  <si>
    <t xml:space="preserve">Machinery or Machine Parts</t>
  </si>
  <si>
    <t xml:space="preserve">140339</t>
  </si>
  <si>
    <t xml:space="preserve">boardresponse+123lb@fenichey.com</t>
  </si>
  <si>
    <t xml:space="preserve">(475) 445-2870</t>
  </si>
  <si>
    <t xml:space="preserve">Dedicated 48 or 53' stepdeck with chains and straps REQUIRED. Full tarping required. Chain tracking must be active at all times - deductions if disabled. Delivery on or by 9/10 by 3pm.</t>
  </si>
  <si>
    <t xml:space="preserve">758397</t>
  </si>
  <si>
    <t xml:space="preserve">Dispatch (ext. 8530)</t>
  </si>
  <si>
    <t xml:space="preserve">(616) 965-7277</t>
  </si>
  <si>
    <t xml:space="preserve">CALL ext. 8530 with any questions. Load must be fully secured before and upon delivery. Driver must accept MacroPoint.</t>
  </si>
  <si>
    <t xml:space="preserve">4h 27m</t>
  </si>
  <si>
    <t xml:space="preserve">519281</t>
  </si>
  <si>
    <t xml:space="preserve">Angie</t>
  </si>
  <si>
    <t xml:space="preserve">(903) 537-7100</t>
  </si>
  <si>
    <t xml:space="preserve">Stops: (blank on board)</t>
  </si>
  <si>
    <t xml:space="preserve">Pandora, OH</t>
  </si>
  <si>
    <t xml:space="preserve">Easton, ME</t>
  </si>
  <si>
    <t xml:space="preserve">21h 29m</t>
  </si>
  <si>
    <t xml:space="preserve">0640725</t>
  </si>
  <si>
    <t xml:space="preserve">PARTIAL</t>
  </si>
  <si>
    <t xml:space="preserve">loads@whitewaterfreight.com</t>
  </si>
  <si>
    <t xml:space="preserve">(812) 637-1720</t>
  </si>
  <si>
    <t xml:space="preserve">PARTIAL LOAD</t>
  </si>
  <si>
    <t xml:space="preserve">14h 26m</t>
  </si>
  <si>
    <t xml:space="preserve">757767</t>
  </si>
  <si>
    <t xml:space="preserve">Dispatch (ext. 8550)</t>
  </si>
  <si>
    <t xml:space="preserve">CALL / TEXT ext 8550 with any questions. Load must be fully secured before and upon delivery. Driver must accept MacroPoint.</t>
  </si>
  <si>
    <t xml:space="preserve">7h 04m</t>
  </si>
  <si>
    <t xml:space="preserve">STEEL STAIR SYSTEM</t>
  </si>
  <si>
    <t xml:space="preserve">111676</t>
  </si>
  <si>
    <t xml:space="preserve">quotes+123lb@freightwatchlogistics.com</t>
  </si>
  <si>
    <t xml:space="preserve">(419) 845-5250</t>
  </si>
  <si>
    <t xml:space="preserve">No load note posted. Delivery Sep 10. LENGTH IS BLANK on the posting - must be asked.</t>
  </si>
  <si>
    <t xml:space="preserve">Deadhead is the mileage 123Loadboard showed next to each origin, i.e. distance from the search origin (New Richmond, OH 45157). Blank Length / Weight on L2 is genuinely blank on the board - it was not filled in.</t>
  </si>
  <si>
    <t xml:space="preserve">BROKER CRM  -  who they are, what they said, when to chase</t>
  </si>
  <si>
    <t xml:space="preserve">History below is taken from the recorded 22-25 Aug 2026 calls. Blank = genuinely unknown, not assumed. Blue cells are yours to keep updating.</t>
  </si>
  <si>
    <t xml:space="preserve">Priority</t>
  </si>
  <si>
    <t xml:space="preserve">Extension</t>
  </si>
  <si>
    <t xml:space="preserve">Named contacts</t>
  </si>
  <si>
    <t xml:space="preserve">Location</t>
  </si>
  <si>
    <t xml:space="preserve">Time zone</t>
  </si>
  <si>
    <t xml:space="preserve">Loads on this board</t>
  </si>
  <si>
    <t xml:space="preserve">Times contacted</t>
  </si>
  <si>
    <t xml:space="preserve">Last contacted</t>
  </si>
  <si>
    <t xml:space="preserve">Days since</t>
  </si>
  <si>
    <t xml:space="preserve">Follow-up due</t>
  </si>
  <si>
    <t xml:space="preserve">Chase status</t>
  </si>
  <si>
    <t xml:space="preserve">180-day new-authority rule?</t>
  </si>
  <si>
    <t xml:space="preserve">What they actually said last time (verbatim where recorded)</t>
  </si>
  <si>
    <t xml:space="preserve">Why this broker matters</t>
  </si>
  <si>
    <t xml:space="preserve">NEXT ACTION</t>
  </si>
  <si>
    <t xml:space="preserve">Outcome of your call (fill in)</t>
  </si>
  <si>
    <t xml:space="preserve">Notes (fill in)</t>
  </si>
  <si>
    <t xml:space="preserve">LOW until Aug 2027</t>
  </si>
  <si>
    <t xml:space="preserve">North-central Ohio (419)</t>
  </si>
  <si>
    <t xml:space="preserve">Eastern</t>
  </si>
  <si>
    <t xml:space="preserve">Blocked - authority age</t>
  </si>
  <si>
    <t xml:space="preserve">1 YEAR - BLOCKED until ~7 Aug 2027</t>
  </si>
  <si>
    <t xml:space="preserve">8 Sep, by phone: they do not work with carriers under one year in business. Munster's authority was granted 7 Aug 2026, so this door does not open until roughly 7 Aug 2027 - worse than the 180-day rule. The load itself was the best on the board, which is exactly why this hurts. Nothing to fix and nothing to negotiate; it is a company policy, not a price. Historical note only: posted the only Sep 9 pickup on the board and it starts 146 mi from home, runs into the Chicago metro, and pays against a $1,287 Rate Check. Ohio-based, so same time zone and likely running regional freight this truck can repeat. Accepts Message AND Bid on the board, which means they book off the board rather than off a compliance packet.</t>
  </si>
  <si>
    <t xml:space="preserve">Nothing until Aug 2027. Do not spend more calls here. Diarise it and move on.</t>
  </si>
  <si>
    <t xml:space="preserve">HIGHEST</t>
  </si>
  <si>
    <t xml:space="preserve">ext 8530 (Huntington WV load) / ext 8550 (Fort Wayne IN load)</t>
  </si>
  <si>
    <t xml:space="preserve">Grand Rapids, MI area</t>
  </si>
  <si>
    <t xml:space="preserve">L6, L9</t>
  </si>
  <si>
    <t xml:space="preserve">2026-08-24</t>
  </si>
  <si>
    <t xml:space="preserve">Awaiting callback</t>
  </si>
  <si>
    <t xml:space="preserve">UNKNOWN - never asked</t>
  </si>
  <si>
    <t xml:space="preserve">24 Aug (call 183, 2:19): reached a LIVE person, was transferred to carrier compliance, held, then dropped to voicemail. Left the Monday-capacity message plus a Highway invite. No callback ever came. A second call was queued for 25 Aug 08:25 (id 222) - its outcome was never recorded.</t>
  </si>
  <si>
    <t xml:space="preserve">Identified 22 Aug as the broker posting the most Munster-sized hotshot freight (South Point OH, Mason MI, Wheeling IL, New Ross IN). Two of the ten loads on the board are theirs. This is the relationship worth building first.</t>
  </si>
  <si>
    <t xml:space="preserve">Call ext 8530 about L6. Ask the 180-day question in the first 30 seconds, then register the truck's specs with them permanently.</t>
  </si>
  <si>
    <t xml:space="preserve">HIGH</t>
  </si>
  <si>
    <t xml:space="preserve">Nebraska</t>
  </si>
  <si>
    <t xml:space="preserve">Central</t>
  </si>
  <si>
    <t xml:space="preserve">Callback owed BY US</t>
  </si>
  <si>
    <t xml:space="preserve">24 Aug (call 198, 0:16): a human answered and immediately said "Can you have a live person call me?" A callback was promised within ten minutes and NEVER MADE. Before that, 22 Aug (call 194, 0:33): voicemail about a Stow -&gt; Tipp City flatbed partial - a thin message with no truck specs and no rate.</t>
  </si>
  <si>
    <t xml:space="preserve">The only broker on this board that explicitly asked for a human and got silence. That is a repairable relationship and an open door - but it gets worse every day it is left.</t>
  </si>
  <si>
    <t xml:space="preserve">Call and open by owning the missed callback. Then ask the rate on L1 (it is not posted) and the 180-day question.</t>
  </si>
  <si>
    <t xml:space="preserve">LOW until Feb 2027</t>
  </si>
  <si>
    <t xml:space="preserve">East Texas (903)</t>
  </si>
  <si>
    <t xml:space="preserve">6 MONTHS - blocked until ~7 Feb 2027</t>
  </si>
  <si>
    <t xml:space="preserve">24 Aug (call 185, 1:09): stuck in the IVR. The menu is "press one for brokerage dispatch" and the call ended there - a human was never reached. A second attempt was queued for 25 Aug 09:00 (id 224); its outcome was never recorded.</t>
  </si>
  <si>
    <t xml:space="preserve">Board now shows a named contact - Angie - which is exactly what beats an IVR. NOTE: prior call notes say "Joe Tex LLC" while the board says "Joe Tex, Inc." - treat them as the same company only once someone confirms it on the phone.</t>
  </si>
  <si>
    <t xml:space="preserve">8 Sep, finally reached a human: they require 6 months in business. Munster clears that around 7 Feb 2027. Nothing to do until then - diarise it. Worth noting the IVR was never the real obstacle; the onboarding rule was, and two earlier calls died in the menu before anyone could say so.</t>
  </si>
  <si>
    <t xml:space="preserve">Venture Connect LLC (Venture Logistics)</t>
  </si>
  <si>
    <t xml:space="preserve">LOW for now</t>
  </si>
  <si>
    <t xml:space="preserve">Indianapolis, IN</t>
  </si>
  <si>
    <t xml:space="preserve">L3, L4</t>
  </si>
  <si>
    <t xml:space="preserve">2026-09-08</t>
  </si>
  <si>
    <t xml:space="preserve">Blocked - insurance policy</t>
  </si>
  <si>
    <t xml:space="preserve">REFUSED 8 Sep - will not set up a carrier insured by PROGRESSIVE</t>
  </si>
  <si>
    <t xml:space="preserve">8 Sep, TWO replies on L3, both from loads@ventureconnect.mail.parade.ai. First: "I've got some lower offers. If you can get to $1400, it's yours!" Second, after we countered at $1,600 with the HOS problem spelled out: "Load's getting a lot of attention. $1400 should get you the load." Both replies repeated the SAME confirmation block verbatim (30 FT HOTSHOT, Shelbyville 09/08 1200 EDT, Stanhope 09/09 0800-1000 EDT, 1,095 lb, tracking required) and BOTH ignored every question: no fine amount, no answer on 27 ft overhang, no answer on the new-authority rule, no movement on the pickup time. The mail domain is Parade, a broker automation platform - treat this thread as an automated quoting bot, not a person. THEN a fourth message, on L4 this time: "This one is getting a lot of interest. $900 should get you the load." That one DID carry new and useful detail - equipment 20 FT HOTSHOT, pickup Shelbyville 09/08 between 1100 and 1400 EDT, delivery Selmer TN 09/09 between 0800 and 1000 CDT, and no tracking requirement. So the bot will hand over appointment data; it just will not negotiate anything except price.</t>
  </si>
  <si>
    <t xml:space="preserve">Posts hotshot construction freight sized almost exactly to a 30 ft deck, and the L3 posting sits $1,835 under 123LB's own Rate Check. Their jobsite work runs under the broker name TRANSCOR. Board offers both Message and Bid, so they book off the board rather than off a compliance packet.</t>
  </si>
  <si>
    <t xml:space="preserve">BOTH LOADS ARE DEAD. On 8 Sep by phone they said they cannot set Munster up because the insurance is Progressive - so the whole night of rate negotiation was on loads this carrier was never eligible to haul. Nothing to counter. If it is ever worth re-opening, ask whether it is Progressive specifically or the age of the authority, whether a higher limit or endorsement fixes it, and for their approved-insurer list.  HISTORICAL: If L3 is still wanted, PHONE (317) 854-5027 and ask a human for two things only: move the pickup to 1100 EDT (or delivery to 1100-1200), and the fine amount in writing. Otherwise decline politely and use the call to ask for Selmer TN and to get registered for future 30 ft hotshot freight - they told us twice they are shopping for exactly this equipment, which is the real prize here.</t>
  </si>
  <si>
    <t xml:space="preserve">MEDIUM</t>
  </si>
  <si>
    <t xml:space="preserve">Iowa</t>
  </si>
  <si>
    <t xml:space="preserve">New - parked</t>
  </si>
  <si>
    <t xml:space="preserve">UNKNOWN - never contacted</t>
  </si>
  <si>
    <t xml:space="preserve">NOT the same company as WARREN'S COURIER AGENCY (that is a LoadBoot carrier - do not mix them up). Their L2 to Idaho is the best gross on the board at $4,818 market, but the length and weight fields are blank and it breaks the weekend-home rule.</t>
  </si>
  <si>
    <t xml:space="preserve">Low priority this week. Worth one email to ask what length and weight L2 actually is, and whether they run smaller regional flatbed freight out of Indiana.</t>
  </si>
  <si>
    <t xml:space="preserve">PARTIAL (as listed on the board)</t>
  </si>
  <si>
    <t xml:space="preserve">Indiana (812)</t>
  </si>
  <si>
    <t xml:space="preserve">New</t>
  </si>
  <si>
    <t xml:space="preserve">Posts PARTIAL loads specifically, which is precisely the freight a 30 ft deck at 9,000 lbs wants. Today's one is priced wrong and goes to a dead-end market, but the broker type is a good long-term match.</t>
  </si>
  <si>
    <t xml:space="preserve">Skip L8. Send one email introducing the truck and asking to be added to their partial-freight list for Midwest and South-East lanes.</t>
  </si>
  <si>
    <t xml:space="preserve">LOW</t>
  </si>
  <si>
    <t xml:space="preserve">Connecticut (475)</t>
  </si>
  <si>
    <t xml:space="preserve">New - poor fit</t>
  </si>
  <si>
    <t xml:space="preserve">Their L5 demands a dedicated 48 or 53 ft stepdeck with full tarping - freight this truck physically cannot take. Pays well ($3.34/mi) but for a different truck.</t>
  </si>
  <si>
    <t xml:space="preserve">No call on L5. Optional single email asking whether they ever post 30 ft / 9,000 lb partials.</t>
  </si>
  <si>
    <t xml:space="preserve">KNOWN FROM PRIOR CALLS  -  not on today's board, but do not lose this</t>
  </si>
  <si>
    <t xml:space="preserve">Standing</t>
  </si>
  <si>
    <t xml:space="preserve">What they said</t>
  </si>
  <si>
    <t xml:space="preserve">Next action</t>
  </si>
  <si>
    <t xml:space="preserve">Sureway / ATS</t>
  </si>
  <si>
    <t xml:space="preserve">HARD BLOCK until approx 3 Feb 2027</t>
  </si>
  <si>
    <t xml:space="preserve">24 Aug (call 186, 2:51): Trish -&gt; carrier compliance (Misty). Verbatim: "We cannot use this company. We have a hundred and eighty day rule of new authority, and it was granted eight seven twenty twenty six." Also said a Highway packet does NOT roll over for a new authority.</t>
  </si>
  <si>
    <t xml:space="preserve">Tennessee Steel Haulers</t>
  </si>
  <si>
    <t xml:space="preserve">Voicemail only, no callback</t>
  </si>
  <si>
    <t xml:space="preserve">24 Aug (call 184, 4:05): IVR plus a long hold through a recorded newsletter, then voicemail. Left the E1687595 message asking whether a 30 ft deck works. No callback. Another call was queued 25 Aug 08:00 (id 223); outcome never recorded.</t>
  </si>
  <si>
    <t xml:space="preserve">Zeal Logistics</t>
  </si>
  <si>
    <t xml:space="preserve">Warren's truck, not Justin's</t>
  </si>
  <si>
    <t xml:space="preserve">24 Aug (call 203, 6:36): their agent looped eight times on "I'm not finding you in the system" against MC 99849375 (the FMCSA census had not caught up - it has now). Eventually offered Savannah GA -&gt; Huntsville AL at 23,000 lbs, which was correctly refused as far over capacity. The transfer to a colleague dropped.</t>
  </si>
  <si>
    <t xml:space="preserve">CALL LOG  -  append a row every time you touch a broker</t>
  </si>
  <si>
    <t xml:space="preserve">Rows 5-11 are the real recorded history from 22-25 Aug 2026. Everything from row 12 down is yours. Never delete a row - the history is the asset.</t>
  </si>
  <si>
    <t xml:space="preserve">Date</t>
  </si>
  <si>
    <t xml:space="preserve">Time (ET)</t>
  </si>
  <si>
    <t xml:space="preserve">Load ID</t>
  </si>
  <si>
    <t xml:space="preserve">Direction</t>
  </si>
  <si>
    <t xml:space="preserve">Channel</t>
  </si>
  <si>
    <t xml:space="preserve">Who you spoke to</t>
  </si>
  <si>
    <t xml:space="preserve">Duration</t>
  </si>
  <si>
    <t xml:space="preserve">Outcome</t>
  </si>
  <si>
    <t xml:space="preserve">What was said - their words</t>
  </si>
  <si>
    <t xml:space="preserve">What we committed to</t>
  </si>
  <si>
    <t xml:space="preserve">Next step</t>
  </si>
  <si>
    <t xml:space="preserve">Next step due</t>
  </si>
  <si>
    <t xml:space="preserve">2026-08-22</t>
  </si>
  <si>
    <t xml:space="preserve">Outbound</t>
  </si>
  <si>
    <t xml:space="preserve">Voicemail</t>
  </si>
  <si>
    <t xml:space="preserve">0:33</t>
  </si>
  <si>
    <t xml:space="preserve">Voicemail left</t>
  </si>
  <si>
    <t xml:space="preserve">Voicemail only. The message was thin: "calling about your Stow to Tipp City flatbed partial... just checking if that's still available... please call me back at this number." No truck specs, no rate, no email address given.</t>
  </si>
  <si>
    <t xml:space="preserve">Nothing concrete.</t>
  </si>
  <si>
    <t xml:space="preserve">Superseded by the 24 Aug call.</t>
  </si>
  <si>
    <t xml:space="preserve">Voicemail (after IVR + hold)</t>
  </si>
  <si>
    <t xml:space="preserve">4:05</t>
  </si>
  <si>
    <t xml:space="preserve">IVR plus a long hold through a recorded newsletter, then voicemail. Left the E1687595 message asking whether a 30 ft deck works. No callback.</t>
  </si>
  <si>
    <t xml:space="preserve">Asked them to call back.</t>
  </si>
  <si>
    <t xml:space="preserve">One more attempt - lead with the 180-day question.</t>
  </si>
  <si>
    <t xml:space="preserve">Live person -&gt; compliance -&gt; voicemail</t>
  </si>
  <si>
    <t xml:space="preserve">2:19</t>
  </si>
  <si>
    <t xml:space="preserve">Reached a live person, was transferred to carrier compliance, held, then dropped into voicemail. Left the Monday-capacity message and a Highway invite. No callback.</t>
  </si>
  <si>
    <t xml:space="preserve">Call ext 8530 about L6 and register truck specs.</t>
  </si>
  <si>
    <t xml:space="preserve">Nobody - stuck in IVR</t>
  </si>
  <si>
    <t xml:space="preserve">1:09</t>
  </si>
  <si>
    <t xml:space="preserve">Stuck in IVR</t>
  </si>
  <si>
    <t xml:space="preserve">Never reached a human. Their menu is "press one for brokerage dispatch" and the call ended there.</t>
  </si>
  <si>
    <t xml:space="preserve">Nothing.</t>
  </si>
  <si>
    <t xml:space="preserve">Dial and ask for Angie by name instead of working the menu.</t>
  </si>
  <si>
    <t xml:space="preserve">Trish -&gt; Misty (carrier compliance)</t>
  </si>
  <si>
    <t xml:space="preserve">2:51</t>
  </si>
  <si>
    <t xml:space="preserve">Rejected - 180 day rule</t>
  </si>
  <si>
    <t xml:space="preserve">Verbatim: "We cannot use this company. We have a hundred and eighty day rule of new authority, and it was granted eight seven twenty twenty six." Also confirmed a Highway packet does NOT roll over for a new authority.</t>
  </si>
  <si>
    <t xml:space="preserve">Nothing - clean rejection.</t>
  </si>
  <si>
    <t xml:space="preserve">Do not call again until approx 3 Feb 2027.</t>
  </si>
  <si>
    <t xml:space="preserve">2027-02-03</t>
  </si>
  <si>
    <t xml:space="preserve">A human (name not captured)</t>
  </si>
  <si>
    <t xml:space="preserve">0:16</t>
  </si>
  <si>
    <t xml:space="preserve">Callback promised</t>
  </si>
  <si>
    <t xml:space="preserve">The human answered and immediately said: "Can you have a live person call me?"</t>
  </si>
  <si>
    <t xml:space="preserve">A callback within ten minutes. IT WAS NEVER MADE.</t>
  </si>
  <si>
    <t xml:space="preserve">Call them. Open by owning the missed callback.</t>
  </si>
  <si>
    <t xml:space="preserve">Agent (name not captured)</t>
  </si>
  <si>
    <t xml:space="preserve">6:36</t>
  </si>
  <si>
    <t xml:space="preserve">Spoke - not a fit</t>
  </si>
  <si>
    <t xml:space="preserve">Looped eight times on "I'm not finding you in the system" against MC 99849375 (FMCSA census lag - since resolved). Offered Savannah GA -&gt; Huntsville AL at 23,000 lbs, refused as far over capacity. Transfer to a colleague dropped.</t>
  </si>
  <si>
    <t xml:space="preserve">Asked them for lighter freight.</t>
  </si>
  <si>
    <t xml:space="preserve">Re-approach for Warren's truck, not Justin's.</t>
  </si>
  <si>
    <t xml:space="preserve">2026-08-25</t>
  </si>
  <si>
    <t xml:space="preserve">08:00</t>
  </si>
  <si>
    <t xml:space="preserve">UNKNOWN - not recorded</t>
  </si>
  <si>
    <t xml:space="preserve">Call was queued (id 223). Its outcome was never recorded - genuinely unknown.</t>
  </si>
  <si>
    <t xml:space="preserve">Confirm whether this call ever ran.</t>
  </si>
  <si>
    <t xml:space="preserve">08:25</t>
  </si>
  <si>
    <t xml:space="preserve">Call was queued (id 222). Its outcome was never recorded - genuinely unknown.</t>
  </si>
  <si>
    <t xml:space="preserve">09:00</t>
  </si>
  <si>
    <t xml:space="preserve">Call was queued (id 224). Its outcome was never recorded - genuinely unknown.</t>
  </si>
  <si>
    <t xml:space="preserve">123LB Message</t>
  </si>
  <si>
    <t xml:space="preserve">Emailed only</t>
  </si>
  <si>
    <t xml:space="preserve">Offer sent on ref 2177463-2099008 at $2,400, with the three questions (can it roll to 9/9, is 27 ft total with no overhang, what is the late-delivery fine). The exact wording that went out is not recorded here.</t>
  </si>
  <si>
    <t xml:space="preserve">Offered to cover at $2,400.</t>
  </si>
  <si>
    <t xml:space="preserve">See their reply on the next row.</t>
  </si>
  <si>
    <t xml:space="preserve">Inbound</t>
  </si>
  <si>
    <t xml:space="preserve">Dispatch (loads@ventureconnect.mail.parade.ai)</t>
  </si>
  <si>
    <t xml:space="preserve">Rate too low</t>
  </si>
  <si>
    <t xml:space="preserve">Verbatim: "I've got some lower offers. If you can get to $1400, it's yours!" Then re-confirmed: Equipment 30 FT HOTSHOT; origin Shelbyville IN 09/08 at 1200 EDT; destination Stanhope NJ 09/09 between 0800 and 1000 EDT; 1,095 lb; NO TARPS; TRANSCOR check-in; hard hat / hi-viz / closed-toe shoes; Tracking Required True; FINES FOR LATE DELIVERY (amount NOT stated). Did not move the pickup and did not answer the overhang or new-authority questions.</t>
  </si>
  <si>
    <t xml:space="preserve">Nothing yet - no acceptance was given.</t>
  </si>
  <si>
    <t xml:space="preserve">Counter at $1,600 conditional on the pickup moving to 1100 EDT (or delivery to 1100-1200) AND the fine amount in writing. Walk at $1,500.</t>
  </si>
  <si>
    <t xml:space="preserve">Automated (parade.ai)</t>
  </si>
  <si>
    <t xml:space="preserve">Second reply, verbatim: "Load's getting a lot of attention. $1400 should get you the load." Then the IDENTICAL confirmation block again. Still no fine amount, still no movement on the 1200 pickup, still no answer on overhang or new-authority. Two identical auto-confirmations plus zero answers = this is a bot on Parade, not a person reading the questions.</t>
  </si>
  <si>
    <t xml:space="preserve">Nothing. No acceptance given.</t>
  </si>
  <si>
    <t xml:space="preserve">Stop emailing. Phone (317) 854-5027 for a human, or decline and move to L10.</t>
  </si>
  <si>
    <t xml:space="preserve">THIRD reply, verbatim: "Can you do any better?" - and the IDENTICAL confirmation block for the third time. It is now asking US to come down, having answered nothing. Three price-only messages, three identical auto-confirmations, zero answers to the fine amount, the overhang question, the new-authority question or the pickup time. This is an automated price ratchet: it will keep asking for a better number and it will never move the clock.</t>
  </si>
  <si>
    <t xml:space="preserve">Do not bid against yourself. Hold $1,600 in one short line, or walk. Phone (317) 854-5027 if L3 is still wanted.</t>
  </si>
  <si>
    <t xml:space="preserve">On the Selmer TN load: "This one is getting a lot of interest. $900 should get you the load." Unlike the three L3 replies, this one carried NEW detail worth having: Equipment 20 FT HOTSHOT; origin Shelbyville IN 09/08 between 1100 and 1400 EDT (a three-hour window, not a fixed time); destination Selmer TN 09/09 between 0800 and 1000 CDT; 1,000 lb; NO TARPS; TRANSCOR check-in; PPE. NO tracking requirement stated. Fine amount still not given.</t>
  </si>
  <si>
    <t xml:space="preserve">Counter once at $1,150 (floor $1,025) and ask the fine amount. The schedule on this one works - it is the better of their two loads.</t>
  </si>
  <si>
    <t xml:space="preserve">Answer to our $1,150: "I've got other offers lower than that. If you can meet me at $900 it's yours!" Same confirmation block for the fifth time. STILL no fine amount - that question has now been asked four times across both loads and never answered. Note the pressure lines are templated: L3 got "getting a lot of attention", L4 got "getting a lot of interest" and now "other offers lower than that" - none of it is verifiable and none of it should move the number.</t>
  </si>
  <si>
    <t xml:space="preserve">Final call: either counter $1,025 once (exact $2.00/mi all-in break-even) or take $900 as a deliberate first-load decision. Get the FINE AMOUNT before agreeing to any price.</t>
  </si>
  <si>
    <t xml:space="preserve">~05:30</t>
  </si>
  <si>
    <t xml:space="preserve">AI screener -&gt; human front desk</t>
  </si>
  <si>
    <t xml:space="preserve">Called (317) 854-5027. An AI answered FIRST, took all the details, then transferred to a human front desk. The front desk confirmed the pickup is 8 Sep and said they do not have this information, call back after 7 AM. So the phone line is screened by AI too, and the person reachable at this hour has neither the fine amount nor the authority to move an appointment.</t>
  </si>
  <si>
    <t xml:space="preserve">Nothing agreed.</t>
  </si>
  <si>
    <t xml:space="preserve">Call back at 07:00 EDT and ask for someone who can change an appointment and quote the fine.</t>
  </si>
  <si>
    <t xml:space="preserve">~05:40</t>
  </si>
  <si>
    <t xml:space="preserve">Freightwatch / Fifth Wheel / Joe Tex / Transportation Express</t>
  </si>
  <si>
    <t xml:space="preserve">No answer</t>
  </si>
  <si>
    <t xml:space="preserve">Round of calls to the other brokers - nobody picked up. Expected: it is 05:40 EDT and no brokerage office is open. Fifth Wheel (MI) and Freightwatch (OH) are Eastern, Joe Tex (TX) and Transportation Express (NE) are Central, so Joe Tex was rung at 04:40 their time. Not a dead-number problem - just the hour.</t>
  </si>
  <si>
    <t xml:space="preserve">Re-dial on the schedule in the CALL PLAN tab, staggered by each broker's own time zone.</t>
  </si>
  <si>
    <t xml:space="preserve">07:00</t>
  </si>
  <si>
    <t xml:space="preserve">TO DO NOW. (317) 854-5027. Open with: I called last night, got your AI, then a front desk who did not have the information and said call after 7 - so I need someone who can change an appointment and quote me a fine amount. TWO QUESTIONS: (1) what is the AMOUNT of the late-delivery fine? (2) can the Selmer pickup be at the 1100 end of your window? THEN: $1,025 and it is covered.</t>
  </si>
  <si>
    <t xml:space="preserve">ASK $1,025. FLOOR $1,025 - do not go below. No fine amount = no load.</t>
  </si>
  <si>
    <t xml:space="preserve">07:30</t>
  </si>
  <si>
    <t xml:space="preserve">TO DO NOW. (419) 845-5250. Send the board MESSAGE and place the $1,300 BID before dialling. FIRST QUESTION: what is the overall LENGTH of the steel stair system? Over 30 ft = stop, thank them, done. Then the new-authority rule, then $1,300.</t>
  </si>
  <si>
    <t xml:space="preserve">ASK $1,300. WALK $1,050. Picks up tomorrow so it is not on today's clock.</t>
  </si>
  <si>
    <t xml:space="preserve">L6 + L9</t>
  </si>
  <si>
    <t xml:space="preserve">ONE call, BOTH loads. (616) 965-7277 - ext 8530 for L6 Huntington WV to Sparrows Point MD, then ext 8550 for L9 Fort Wayne to Cedar Point KS. Accept MacroPoint on L6. The real goal is getting the truck registered on their list.</t>
  </si>
  <si>
    <t xml:space="preserve">L6 ask $1,300 walk $1,075. L9 ask $2,000 walk $1,850.</t>
  </si>
  <si>
    <t xml:space="preserve">Low priority. (812) 637-1720. Not about L8 - just get on their partial-freight list for Midwest and South-East lanes.</t>
  </si>
  <si>
    <t xml:space="preserve">No offer. Relationship call only.</t>
  </si>
  <si>
    <t xml:space="preserve">THE REPAIR CALL. (402) 564-6375 - Nebraska, so 08:00 their time. Open by owning the missed 24 Aug callback: someone there asked for a live person and never got one. Then ask the rate on L1 - it is not posted - and mention it only uses 4 ft of a 30 ft deck, so a second partial could ride along.</t>
  </si>
  <si>
    <t xml:space="preserve">ASK $1,300. WALK $1,150.</t>
  </si>
  <si>
    <t xml:space="preserve">ASK FOR ANGIE BY NAME - (903) 537-7100. Two previous calls died in their IVR; working the menu has already failed twice. Rate on L7 is not posted, and confirm 8,000 lb is the real weight (ceiling is 9,000). Also confirm whether Joe Tex LLC and Joe Tex, Inc. are the same company.</t>
  </si>
  <si>
    <t xml:space="preserve">ASK $850. WALK $675.</t>
  </si>
  <si>
    <t xml:space="preserve">Lowest priority. (800) 206-7980, Iowa so 08:00 their time. One question only: what length and weight is ref 1181425 actually? Both fields are blank on the posting.</t>
  </si>
  <si>
    <t xml:space="preserve">No offer - the Idaho run breaks the weekend-home rule anyway.</t>
  </si>
  <si>
    <t xml:space="preserve">~07:45</t>
  </si>
  <si>
    <t xml:space="preserve">Reached a person</t>
  </si>
  <si>
    <t xml:space="preserve">Rejected - other</t>
  </si>
  <si>
    <t xml:space="preserve">BLOCKED ON AUTHORITY AGE. They said they do not work with carriers who have been in business under one year. Munster's authority was granted 7 Aug 2026, so this opens around 7 Aug 2027. This is a company policy, not a rate or an equipment question - the length of the stair system never even came up. The best-ranked load on the board, lost to something no negotiation touches.</t>
  </si>
  <si>
    <t xml:space="preserve">Nothing until Aug 2027. Diarise and stop calling.</t>
  </si>
  <si>
    <t xml:space="preserve">2027-08-07</t>
  </si>
  <si>
    <t xml:space="preserve">~07:50</t>
  </si>
  <si>
    <t xml:space="preserve">UNCONFIRMED - which broker?</t>
  </si>
  <si>
    <t xml:space="preserve">A broker said they cannot set Munster up because the insurance is PROGRESSIVE. WHICH BROKER SAID THIS IS NOT YET RECORDED - fill it in. Context worth keeping: Progressive is one of the largest US commercial trucking insurers and has no flatbed or tarped-freight exclusion, so this is that broker's own approved-insurer policy, not a defect in the cover. It is also commonly a proxy for "this is a new authority", which is the wall we keep hitting. Callback attempted, no answer.</t>
  </si>
  <si>
    <t xml:space="preserve">Ask them: is it Progressive specifically or the age of our authority? Any limit or endorsement that fixes it? Can they send their approved-insurer list?</t>
  </si>
  <si>
    <t xml:space="preserve">2026-09-09</t>
  </si>
  <si>
    <t xml:space="preserve">08:15</t>
  </si>
  <si>
    <t xml:space="preserve">Ask for ext 8530</t>
  </si>
  <si>
    <t xml:space="preserve">3:40</t>
  </si>
  <si>
    <t xml:space="preserve">Spoke - interested</t>
  </si>
  <si>
    <t xml:space="preserve">EXAMPLE ROW - overwrite it. Type what they actually said, in their words.</t>
  </si>
  <si>
    <t xml:space="preserve">What you promised them and by when.</t>
  </si>
  <si>
    <t xml:space="preserve">The single next thing to do.</t>
  </si>
  <si>
    <t xml:space="preserve">2026-09-10</t>
  </si>
  <si>
    <t xml:space="preserve">CALL SCRIPTS  -  drafts for you to say and send</t>
  </si>
  <si>
    <t xml:space="preserve">Nothing here has been sent anywhere. Every call and every email goes out from you. Scripts are in English because that is what the broker hears.</t>
  </si>
  <si>
    <t xml:space="preserve">UNIVERSAL OPENER  -  use this on every single call</t>
  </si>
  <si>
    <t xml:space="preserve">Line 1 - who</t>
  </si>
  <si>
    <t xml:space="preserve">Hi, this is Yaseen calling for Munster Logistics, MC 84057665 - we run a 30 foot hotshot gooseneck out of New Richmond, Ohio.</t>
  </si>
  <si>
    <t xml:space="preserve">Line 2 - the 180-day question, FIRST</t>
  </si>
  <si>
    <t xml:space="preserve">Before I take up your time - do you have a new-authority rule, and how many days is it? Our authority was granted 7 August this year.
WHY THIS GOES FIRST: on 24 Aug, Sureway/ATS put four minutes of hold into this exact conversation and then said 'we have a 180 day rule of new authority and it was granted 8-7-2026.' Asking up front turns that into a ten-second answer.
IF THEY SAY 180 DAYS: 'Understood, thank you - that puts us at early February. Can I send you our packet now so we are already set up when that date hits?' Then log it in BROKER CRM and hang up. Do not argue it.</t>
  </si>
  <si>
    <t xml:space="preserve">Line 3 - is it still there</t>
  </si>
  <si>
    <t xml:space="preserve">I'm calling on your load [REF #] from [ORIGIN] to [DESTINATION]. Two things: is it still available, and can it pick up tomorrow, Wednesday the 9th? My truck is empty from tomorrow morning.</t>
  </si>
  <si>
    <t xml:space="preserve">Line 4 - the truck, said out loud</t>
  </si>
  <si>
    <t xml:space="preserve">Munster Logistics, MC eight four zero five seven six six five. Thirty foot gooseneck deck, one hundred and two inches wide, nine thousand pounds max payload. Tarps, Grade eighty chains and binders, straps and mega ramps on board. One million auto liability, one hundred thousand cargo. Based New Richmond, Ohio.</t>
  </si>
  <si>
    <t xml:space="preserve">Line 5 - the rate</t>
  </si>
  <si>
    <t xml:space="preserve">IF A RATE IS POSTED: 'I can do it at [TARGET ASK from the SHORTLIST tab]. That covers the [DH] miles of deadhead to get to you plus the loaded run.'
IF NO RATE IS POSTED: 'What are you paying on it?' - then stay quiet and let them answer first.
Never open at the walk-away number. The walk-away column is the point where you politely stop, not where you start.</t>
  </si>
  <si>
    <t xml:space="preserve">Line 6 - always close with this</t>
  </si>
  <si>
    <t xml:space="preserve">Even on a no: 'Understood. Can I email you our capacity so I'm on your list? We're a 30 foot deck, 9,000 pounds, based in Cincinnati - we do a lot of partials, and we're empty most weekday mornings.' Then get the email address and log it.</t>
  </si>
  <si>
    <t xml:space="preserve">IF YOU GET VOICEMAIL  -  say all of this, not half of it</t>
  </si>
  <si>
    <t xml:space="preserve">The problem to avoid</t>
  </si>
  <si>
    <t xml:space="preserve">On 22 Aug the voicemail left for Transportation Express said only: 'calling about your Stow to Tipp City flatbed partial, just checking if that's still available, please call me back.' No specs, no rate, no email. A broker with forty Monday voicemails has no reason to return that one.</t>
  </si>
  <si>
    <t xml:space="preserve">The voicemail to leave instead</t>
  </si>
  <si>
    <t xml:space="preserve">Hi, this is Yaseen with Munster Logistics, MC 84057665. I'm calling on your load reference [REF #], [ORIGIN] to [DESTINATION].
We're a 30 foot gooseneck deck, 102 inches wide, 9,000 pounds max, with tarps, Grade 80 chains and straps on board. Fully insured, one million auto and one hundred thousand cargo. We're empty out of Cincinnati tomorrow morning.
We can do that load at [TARGET ASK]. Call me back on [YOUR NUMBER], or email me at [YOUR EMAIL] and I'll send our packet straight over. Again that's Yaseen, Munster Logistics, [YOUR NUMBER]. Thank you.</t>
  </si>
  <si>
    <t xml:space="preserve">L10 - FREIGHTWATCH, LLC  (419) 845-5250  -  CALL, MESSAGE AND BID THIS ONE FIRST</t>
  </si>
  <si>
    <t xml:space="preserve">Why this is first now</t>
  </si>
  <si>
    <t xml:space="preserve">It is the only posting on the board with a Sep 9 pickup. Everything else is a Sep 8 posting that has to be talked into rolling a day. This one already matches Justin's availability, delivers Sep 10, and drops him in the Chicago metro - the best backhaul market on the list.</t>
  </si>
  <si>
    <t xml:space="preserve">Opener</t>
  </si>
  <si>
    <t xml:space="preserve">Hi, this is Yaseen with Munster Logistics, MC 84057665 - 30 foot hotshot gooseneck out of New Richmond, Ohio. Two quick things before I take your time: do you run a new-authority rule, and how many days? Ours was granted 7 August.</t>
  </si>
  <si>
    <t xml:space="preserve">THE question that decides the load</t>
  </si>
  <si>
    <t xml:space="preserve">I'm on reference 111676, Lexington Ohio to Channahon Illinois, the steel stair system. Your posting has the length blank. What is the overall length of the piece?
MY DECK IS 30 FEET. If they say anything over 30 ft, thank them and stop - that is the automatic reject and it is not worth arguing. If it is under 30 ft, keep going. 4,700 lbs is fine either way.</t>
  </si>
  <si>
    <t xml:space="preserve">The rate</t>
  </si>
  <si>
    <t xml:space="preserve">It's posted at $800. Lexington is 146 miles from me, so I'm running 513 total miles for that - $1.56 a mile, and I can't cover the truck at that. Your own board's rate check on this lane says $1,287. I'll take it at $1,300 and I can be on site Wednesday morning. (Walk away at $1,050.)</t>
  </si>
  <si>
    <t xml:space="preserve">Then secure it</t>
  </si>
  <si>
    <t xml:space="preserve">Send me the rate confirmation with the pickup and delivery appointments on it. Do you need tarps on a stair system? We carry flat tarps, Grade 80 chains and binders, and straps.</t>
  </si>
  <si>
    <t xml:space="preserve">Do all three channels</t>
  </si>
  <si>
    <t xml:space="preserve">This posting has Message AND Bid as well as a phone number. Send the board message, place the bid at $1,300, and call. Whichever one they answer first, you win the load - and it costs you nothing to do all three.</t>
  </si>
  <si>
    <t xml:space="preserve">L6 - FIFTH WHEEL FREIGHT  (616) 965-7277 ext 8530  -  CALL FIRST</t>
  </si>
  <si>
    <t xml:space="preserve">Why first</t>
  </si>
  <si>
    <t xml:space="preserve">This is the highest-value relationship on the board: as of 22 Aug they post more Munster-sized hotshot freight than anyone else, and two of the ten loads on the board are theirs. The goal of this call is not really L6 - it is getting the truck's specs permanently on their board.</t>
  </si>
  <si>
    <t xml:space="preserve">Hi, extension 8530 please. ... Hi, this is Yaseen with Munster Logistics, MC 84057665, 30 foot hotshot out of Cincinnati. Quick one first - do you run a new-authority rule, and how many days?</t>
  </si>
  <si>
    <t xml:space="preserve">The load</t>
  </si>
  <si>
    <t xml:space="preserve">I'm on your reference 758397, Huntington West Virginia to Sparrows Point Maryland, 11 feet and 6,000 pounds. Is it still open, and can it load tomorrow Wednesday the 9th instead of today?</t>
  </si>
  <si>
    <t xml:space="preserve">It's posted at $900. I've got 106 miles of deadhead just to reach Huntington, so at $900 I'm running 523 total miles - that's $1.72 a mile all-in and I can't make that work. At $1,300 I'll take it right now. (Walk away at $1,075.)</t>
  </si>
  <si>
    <t xml:space="preserve">MacroPoint</t>
  </si>
  <si>
    <t xml:space="preserve">Yes, we'll accept MacroPoint - confirm the number it should go to.</t>
  </si>
  <si>
    <t xml:space="preserve">The real ask</t>
  </si>
  <si>
    <t xml:space="preserve">One more thing before I let you go - can I get our truck registered with you? 30 foot deck, 102 wide, 9,000 pounds, tarps and Grade 80 on board, empty out of Cincinnati most weekday mornings. You post a lot of freight that is exactly this size and I'd rather you call me than me chase the board.</t>
  </si>
  <si>
    <t xml:space="preserve">L1 - TRANSPORTATION EXPRESS  (402) 564-6375  -  THE REPAIR CALL</t>
  </si>
  <si>
    <t xml:space="preserve">Read this first</t>
  </si>
  <si>
    <t xml:space="preserve">On 24 Aug a human at this number answered and said, word for word, 'Can you have a live person call me?' A callback was promised in ten minutes and never made. Do not open this call pretending that did not happen - open by owning it. That is the whole reason this call works.</t>
  </si>
  <si>
    <t xml:space="preserve">Opener - own it</t>
  </si>
  <si>
    <t xml:space="preserve">Hi, this is Yaseen with Munster Logistics. Back on the 24th of August someone there asked us to have a live person call - and that call never came. That's on us, and I'm the live person. I'm sorry it took this long.</t>
  </si>
  <si>
    <t xml:space="preserve">Then the rule question</t>
  </si>
  <si>
    <t xml:space="preserve">Before anything else - do you have a new-authority rule, and how many days? Ours was granted 7 August.</t>
  </si>
  <si>
    <t xml:space="preserve">You've got Piqua Ohio to Pineville North Carolina, flatbed or step deck, 4 feet and 2,900 pounds. Is it still open for a Wednesday pickup? There's no rate on the posting - what are you paying on it?</t>
  </si>
  <si>
    <t xml:space="preserve">Position the truck</t>
  </si>
  <si>
    <t xml:space="preserve">That's only 4 feet of my deck. I've got a 30 foot gooseneck, so if you've got a second partial going the same direction I'll take both on the same run and it's cheaper for you than two trucks. Piqua is only 82 miles from me, so I can be there early.</t>
  </si>
  <si>
    <t xml:space="preserve">Target</t>
  </si>
  <si>
    <t xml:space="preserve">Target ask $1,300, walk away at $1,150. If they push back hard, ask what a second partial alongside it would be worth.</t>
  </si>
  <si>
    <t xml:space="preserve">L3 - VENTURE CONNECT  (317) 854-5027  -  BEST MONEY, HIGHEST RISK</t>
  </si>
  <si>
    <t xml:space="preserve">The situation</t>
  </si>
  <si>
    <t xml:space="preserve">Posted at $1,400. 123Loadboard's own Rate Check on the same lane says $3,235. That gap is the negotiation. But this load carries the most conditions of anything on the board, so confirm them BEFORE agreeing a price.</t>
  </si>
  <si>
    <t xml:space="preserve">Hi, Yaseen with Munster Logistics, MC 84057665, 30 foot hotshot gooseneck. Do you run a new-authority rule? ... Good. I'm calling on reference 2177463-2099008, Shelbyville Indiana to Stanhope New Jersey.</t>
  </si>
  <si>
    <t xml:space="preserve">The three things to confirm before any number</t>
  </si>
  <si>
    <t xml:space="preserve">1. It's posted for today at 12 noon - my truck is empty from tomorrow morning. Can this roll to Wednesday the 9th, or is the delivery appointment fixed?
2. The note says 27 feet of space. I've got a 30 foot deck, so that fits - but confirm it's 27 feet and not 27 feet plus overhang.
3. The note mentions fines for late delivery. What is the fine, and what is the exact delivery window? I need that in writing on the rate confirmation before I roll.</t>
  </si>
  <si>
    <t xml:space="preserve">On rate - it's posted at $1,400 and your own board's rate check on this lane is $3,235. With 92 miles of deadhead into Shelbyville I'm at 747 total miles. I can do it at $2,400. (Walk away at $1,900 - below that the fine exposure isn't worth it.)</t>
  </si>
  <si>
    <t xml:space="preserve">Confirm the jobsite conditions</t>
  </si>
  <si>
    <t xml:space="preserve">Just so there's no surprise at delivery: driver needs hard hat, high-viz vest and closed-toe shoes - we have all three. Check-in is under the broker name TRANSCOR with a pickup number - can you send me that number. Live tracking stays on the whole run, that's fine. And no tarps required, correct?</t>
  </si>
  <si>
    <t xml:space="preserve">Fallback in the same call</t>
  </si>
  <si>
    <t xml:space="preserve">If Stanhope is gone: 'Do you still have the Selmer Tennessee one, reference 2178262-2099817? Same 20 feet, 1,000 pounds.' Target $1,250, walk away $1,050.</t>
  </si>
  <si>
    <t xml:space="preserve">L7 - JOE TEX, INC.  (903) 537-7100  -  ASK FOR ANGIE BY NAME</t>
  </si>
  <si>
    <t xml:space="preserve">Why this matters</t>
  </si>
  <si>
    <t xml:space="preserve">Two calls to this number have died in the IVR without ever reaching a person - the menu is 'press one for brokerage dispatch'. The board now gives a name, Angie. Asking for a person by name is what gets past a phone tree.</t>
  </si>
  <si>
    <t xml:space="preserve">Hi, could I speak with Angie please? ... Hi Angie, this is Yaseen with Munster Logistics, MC 84057665, 30 foot hotshot deck out of Cincinnati. Quick question first - do you have a new-authority rule, and how many days?</t>
  </si>
  <si>
    <t xml:space="preserve">I'm looking at your reference 519281, Muncie Indiana to Decatur Illinois, 20 feet and 8,000 pounds. Two things: is it still open for a Wednesday pickup, and is 8,000 pounds the real weight? My hard ceiling is 9,000, so I need that confirmed before I commit.</t>
  </si>
  <si>
    <t xml:space="preserve">There's no rate on the posting - what are you paying? ... It's 109 miles of deadhead for me to get to Muncie and 215 loaded, so 324 total. I need $850 to make that work. (Walk away at $675.)</t>
  </si>
  <si>
    <t xml:space="preserve">Name check</t>
  </si>
  <si>
    <t xml:space="preserve">Our records show a 'Joe Tex LLC' from a call in August and the board says 'Joe Tex, Inc.' - worth one sentence to confirm it is the same company, then correct the CRM tab.</t>
  </si>
  <si>
    <t xml:space="preserve">L9 - FIFTH WHEEL FREIGHT ext 8550  -  ONLY IF THE RATE MOVES</t>
  </si>
  <si>
    <t xml:space="preserve">The honest position</t>
  </si>
  <si>
    <t xml:space="preserve">Fort Wayne Indiana to Cedar Point Kansas, 758 loaded plus 153 deadhead. At the posted $1,400 that is $1.54 a mile all-in, well under the $2.00 floor - and Cedar Point is rural, so the empty run out of there is on Justin. The only reason it is on the list at all is that it is Fifth Wheel.</t>
  </si>
  <si>
    <t xml:space="preserve">Script</t>
  </si>
  <si>
    <t xml:space="preserve">Extension 8550 please. ... Hi, Yaseen with Munster Logistics. Your reference 757767, Fort Wayne to Cedar Point Kansas. I want to help you but $1,400 doesn't work - that's 153 miles of deadhead just to reach Fort Wayne, and Cedar Point is going to leave me empty a long way. At $2,000 I'll cover it. (Walk away at $1,850.)</t>
  </si>
  <si>
    <t xml:space="preserve">If they say no</t>
  </si>
  <si>
    <t xml:space="preserve">Then let it go, and use the time to ask what else they have moving east or south out of Indiana and Ohio this week. That question is worth more than this load.</t>
  </si>
  <si>
    <t xml:space="preserve">EMAIL DRAFTS  -  copy, paste, and send from your own address</t>
  </si>
  <si>
    <t xml:space="preserve">To: loadpostings+123lb@venturelogistics.com
(Venture Connect - L3 / L4)</t>
  </si>
  <si>
    <t xml:space="preserve">Subject: Munster Logistics MC-84057665 - 30 ft hotshot, empty Cincinnati Wed 9 Sep - your ref 2177463-2099008
Hi,
We're a 30 ft gooseneck hotshot based in New Richmond, OH (Cincinnati), MC-84057665 / USDOT 7555217, and we're empty from Wednesday 9 September.
I'm interested in ref 2177463-2099008, Shelbyville IN to Stanhope NJ. Before I bid, three questions:
  1. Can it pick up Wednesday 9 September rather than today?
  2. The note says 27 ft of space - confirming that is 27 ft total, no overhang?
  3. What is the late-delivery fine, and what exactly is the delivery window?
Our equipment: 30 ft deck (25+5), 102 in wide, ~34 in deck height, 9,000 lb max payload. Flat tarps, Grade 80 chains and binders, straps and mega ramps on board. $1M auto liability, $100k cargo. Driver carries hard hat, high-viz vest and closed-toe shoes.
We can cover it at $2,400. Happy to send our carrier packet straight over.
Also: if Stanhope is gone, we can take ref 2178262-2099817 (Shelbyville IN to Selmer TN) at $1,250.
Thanks,
[YOUR NAME]
Munster Logistics LLC
[YOUR PHONE] | [YOUR EMAIL]</t>
  </si>
  <si>
    <t xml:space="preserve">To: loads@whitewaterfreight.com
(Whitewater Freight - capacity intro, NOT a bid on L8)</t>
  </si>
  <si>
    <t xml:space="preserve">Subject: 30 ft hotshot deck for your partial freight - Munster Logistics MC-84057665
Hi,
I saw you post partial flatbed freight regularly and wanted to put our truck on your list rather than only catching you on the board.
Munster Logistics LLC - MC-84057665, USDOT 7555217. 30 ft gooseneck deck (25+5), 102 in wide, 9,000 lb max payload. Flat tarps, Grade 80 chains and binders, straps, mega ramps. $1M auto liability, $100k cargo. Domiciled New Richmond, OH 45157 and empty out of the Cincinnati area most weekday mornings.
Partials of 10-30 ft and up to 9,000 lbs are exactly what this truck is built for. Midwest, Mid-Atlantic and South-East lanes work best for us.
Two questions: do you run a new-authority rule, and if so how many days? And what does your setup packet need?
Thanks,
[YOUR NAME]
Munster Logistics LLC
[YOUR PHONE] | [YOUR EMAIL]</t>
  </si>
  <si>
    <t xml:space="preserve">To: loads@warrentransport.com
(Warren Transport - L2 spec question only, low priority)</t>
  </si>
  <si>
    <t xml:space="preserve">Subject: Ref 1181425 Union City IN to Heyburn ID - length and weight?
Hi,
Your posting 1181425 (Union City IN to Heyburn ID, flatbed, qty 15) does not show a length or a weight. Could you confirm both?
We run a 30 ft gooseneck deck at 9,000 lb max, so we can only take it if it genuinely fits that - I would rather ask than waste your time.
Separately: do you post shorter regional flatbed freight out of Indiana and Ohio? That is our lane. Munster Logistics LLC, MC-84057665, $1M/$100k, based New Richmond OH.
Thanks,
[YOUR NAME]
Munster Logistics LLC
[YOUR PHONE] | [YOUR EMAIL]</t>
  </si>
  <si>
    <t xml:space="preserve">MESSAGES + EMAILS  -  one per load, copy and paste</t>
  </si>
  <si>
    <t xml:space="preserve">Index only. THE TEXT ITSELF IS NOT HERE - a spreadsheet cell holding many lines never copies cleanly. Use the COPY DECK tab, or open the matching file in dispatch/messages/ and press Ctrl+A then Ctrl+C.</t>
  </si>
  <si>
    <t xml:space="preserve">Load</t>
  </si>
  <si>
    <t xml:space="preserve">Channels on the posting</t>
  </si>
  <si>
    <t xml:space="preserve">Where the text is</t>
  </si>
  <si>
    <t xml:space="preserve">Email to</t>
  </si>
  <si>
    <t xml:space="preserve">Email subject</t>
  </si>
  <si>
    <t xml:space="preserve">Text file to open</t>
  </si>
  <si>
    <t xml:space="preserve">Bid $</t>
  </si>
  <si>
    <t xml:space="preserve">How to play it</t>
  </si>
  <si>
    <t xml:space="preserve">Lexington, OH &gt; Channahon, IL</t>
  </si>
  <si>
    <t xml:space="preserve">See COPY DECK tab, or the .txt file -&gt;</t>
  </si>
  <si>
    <t xml:space="preserve">Ref 111676 Lexington OH &gt; Channahon IL - 30 ft hotshot available Wed 9/9 - Munster Logistics MC-84057665</t>
  </si>
  <si>
    <t xml:space="preserve">dispatch/messages/ ... L10</t>
  </si>
  <si>
    <t xml:space="preserve">Bid $1,300. Do the Message, the Bid AND the call - all three, they cost nothing.</t>
  </si>
  <si>
    <t xml:space="preserve">L3 FINAL</t>
  </si>
  <si>
    <t xml:space="preserve">Shelbyville, IN &gt; Stanhope, NJ</t>
  </si>
  <si>
    <t xml:space="preserve">EMAIL IS A BOT - PHONE (317) 854-5027</t>
  </si>
  <si>
    <t xml:space="preserve">loads@ventureconnect.mail.parade.ai  -  AUTOMATED (Parade). Price only. It will not answer questions.</t>
  </si>
  <si>
    <t xml:space="preserve">RE: Ref 2177463-2099008 - holding at $1,600, and the clock question is still open</t>
  </si>
  <si>
    <t xml:space="preserve">dispatch/messages/ ... L3-FINAL</t>
  </si>
  <si>
    <t xml:space="preserve">DO NOT BID AGAINST YOURSELF. They asked 'can you do any better' having answered nothing - dropping now teaches the bot to keep asking. Hold $1,600 once, then either phone or walk. Floor is $1,500 and the schedule still does not work at ANY price.</t>
  </si>
  <si>
    <t xml:space="preserve">L4 FINAL</t>
  </si>
  <si>
    <t xml:space="preserve">Shelbyville, IN &gt; Selmer, TN</t>
  </si>
  <si>
    <t xml:space="preserve">Bot held at $900 twice - decision point</t>
  </si>
  <si>
    <t xml:space="preserve">loads@ventureconnect.mail.parade.ai</t>
  </si>
  <si>
    <t xml:space="preserve">RE: Ref 2178262-2099817 - $1,025 and it's yours, but I need the fine amount</t>
  </si>
  <si>
    <t xml:space="preserve">dispatch/messages/ ... L4-FINAL</t>
  </si>
  <si>
    <t xml:space="preserve">THE FINE, NOT THE RATE, IS THE REAL BLOCKER NOW. Four asks, no answer. Do not accept $900 or any number until someone names it - one bad morning on a jobsite with an uncapped fine can swallow the whole load.</t>
  </si>
  <si>
    <t xml:space="preserve">Union City, IN &gt; Heyburn, ID</t>
  </si>
  <si>
    <t xml:space="preserve">Ref 1181425 - length and weight? Plus 30 ft hotshot capacity out of Ohio / Indiana</t>
  </si>
  <si>
    <t xml:space="preserve">dispatch/messages/ ... L2</t>
  </si>
  <si>
    <t xml:space="preserve">No bid button on this posting. This is an information request, not an offer - the Idaho run breaks the weekend-home rule anyway.</t>
  </si>
  <si>
    <t xml:space="preserve">Pandora, OH &gt; Easton, ME</t>
  </si>
  <si>
    <t xml:space="preserve">30 ft hotshot deck for your partial freight - Munster Logistics MC-84057665</t>
  </si>
  <si>
    <t xml:space="preserve">dispatch/messages/ ... L8</t>
  </si>
  <si>
    <t xml:space="preserve">No bid. Send the capacity intro, not an offer. The relationship is worth more than this load.</t>
  </si>
  <si>
    <t xml:space="preserve">Louisville, KY &gt; Newington, CT</t>
  </si>
  <si>
    <t xml:space="preserve">Not a fit on ref 140339 - but do you post 30 ft partials? Munster Logistics MC-84057665</t>
  </si>
  <si>
    <t xml:space="preserve">dispatch/messages/ ... L5</t>
  </si>
  <si>
    <t xml:space="preserve">DO NOT BID. The load is a hard reject on equipment. Sending an honest 'not our truck' note is what gets remembered.</t>
  </si>
  <si>
    <t xml:space="preserve">Huntington, WV &gt; Sparrows Point, MD</t>
  </si>
  <si>
    <t xml:space="preserve">ASK FOR IT ON THE CALL - no email is published on this posting</t>
  </si>
  <si>
    <t xml:space="preserve">Ref 758397 Huntington WV &gt; Sparrows Point MD - 30 ft hotshot confirmation - Munster Logistics MC-84057665</t>
  </si>
  <si>
    <t xml:space="preserve">dispatch/messages/ ... L6</t>
  </si>
  <si>
    <t xml:space="preserve">Phone only. The email is the follow-up AFTER the call, and its real job is the last paragraph - getting on their list.</t>
  </si>
  <si>
    <t xml:space="preserve">Fort Wayne, IN &gt; Cedar Point, KS</t>
  </si>
  <si>
    <t xml:space="preserve">Ref 757767 Fort Wayne IN &gt; Cedar Point KS - Munster Logistics MC-84057665</t>
  </si>
  <si>
    <t xml:space="preserve">dispatch/messages/ ... L9</t>
  </si>
  <si>
    <t xml:space="preserve">Phone only, ext 8550. Same broker as L6 - one call, both loads. Do not ring twice.</t>
  </si>
  <si>
    <t xml:space="preserve">Piqua, OH &gt; Pineville, NC</t>
  </si>
  <si>
    <t xml:space="preserve">Following up on our call - Munster Logistics MC-84057665, 30 ft hotshot out of Cincinnati</t>
  </si>
  <si>
    <t xml:space="preserve">dispatch/messages/ ... L1</t>
  </si>
  <si>
    <t xml:space="preserve">Phone only. Open the CALL by owning the missed 24 Aug callback - the email alone will not fix that.</t>
  </si>
  <si>
    <t xml:space="preserve">Muncie, IN &gt; Decatur, IL</t>
  </si>
  <si>
    <t xml:space="preserve">Ref 519281 Muncie IN &gt; Decatur IL - Munster Logistics MC-84057665</t>
  </si>
  <si>
    <t xml:space="preserve">dispatch/messages/ ... L7</t>
  </si>
  <si>
    <t xml:space="preserve">Phone only. Ask for Angie by name - working the menu has failed twice.</t>
  </si>
  <si>
    <t xml:space="preserve">The message text lives in two places, both of which copy properly: the COPY DECK tab (one line per row - select the rows, not the cell), and dispatch/messages/*.txt (open in Notepad, Ctrl+A, Ctrl+C - the most reliable of the two). Four of the ten postings (L1, L6, L7, L9) publish no Message button and no email address - they are a phone number and nothing else. For those the email column is a FOLLOW-UP to send after the call, once someone gives you an address; sending it before the call is not possible. Everything in [SQUARE BRACKETS] is yours to fill in. Nothing here has been sent to anyone.</t>
  </si>
  <si>
    <t xml:space="preserve">CALL PLAN  -  Tuesday 8 Sep, hour by hour</t>
  </si>
  <si>
    <t xml:space="preserve">Nobody answered at 05:40 because no brokerage office was open. Times below are each broker's OWN opening hour, converted to Eastern.</t>
  </si>
  <si>
    <t xml:space="preserve">STATUS AT 07:30 ET, TUE 8 SEP  -  VENTURE AND FREIGHTWATCH ARE OPEN NOW</t>
  </si>
  <si>
    <t xml:space="preserve">CALL NOW: Venture Connect (317) 854-5027 - they told you to ring after 7, that was 30 minutes ago. Then Freightwatch (419) 845-5250, but send the board message and the $1,300 bid BEFORE you dial. Fifth Wheel opens in about 30 minutes. The Central-time desks - Joe Tex, Transportation Express, Warren - are still at 06:30 their time; leave them 90 minutes.  |  DEPARTURE CLOCK: leaving 08:49 loads at 1100 (79 minutes from 07:30), leaving 09:49 loads at 1200, leaving 11:49 is the last chance before the 1400 window shuts.</t>
  </si>
  <si>
    <t xml:space="preserve">WHY NOBODY ANSWERED</t>
  </si>
  <si>
    <t xml:space="preserve">Freight brokerages run roughly 8 AM to 5 PM local. At 05:40 Eastern, the Ohio and Michigan desks were still shut and the Texas and Nebraska desks were at 04:40 their time. The one exception is Venture Connect, who told you on the phone to call back after 7 AM - that is the only opening time here that is confirmed rather than inferred from the area code.</t>
  </si>
  <si>
    <t xml:space="preserve">Call at (ET)</t>
  </si>
  <si>
    <t xml:space="preserve">Their zone</t>
  </si>
  <si>
    <t xml:space="preserve">What this call is for</t>
  </si>
  <si>
    <t xml:space="preserve">Confirmed or inferred?</t>
  </si>
  <si>
    <t xml:space="preserve">Eastern (IN)</t>
  </si>
  <si>
    <t xml:space="preserve">THE decision call. Ask for someone who can change an appointment. Two questions only: what is the AMOUNT of the late fine, and can the L4 pickup be at the 1100 end. Then $1,025 on L4.</t>
  </si>
  <si>
    <t xml:space="preserve">CONFIRMED - they said call after 7 AM</t>
  </si>
  <si>
    <t xml:space="preserve">Eastern (OH)</t>
  </si>
  <si>
    <t xml:space="preserve">The best load on the board and still untouched. Ask the LENGTH of the steel stair system first - over 30 ft and it is dead. Then $1,300. Send the board message and the bid before you dial.</t>
  </si>
  <si>
    <t xml:space="preserve">INFERRED from the 419 area code</t>
  </si>
  <si>
    <t xml:space="preserve">(616) 965-7277 ext 8530</t>
  </si>
  <si>
    <t xml:space="preserve">Eastern (MI)</t>
  </si>
  <si>
    <t xml:space="preserve">L6 at $1,300, then ext 8550 for L9 at $2,000 in the SAME call. The real prize is getting the truck registered on their list.</t>
  </si>
  <si>
    <t xml:space="preserve">INFERRED - 24 Aug reached a live person on a weekday morning</t>
  </si>
  <si>
    <t xml:space="preserve">Not about today's load. One call to get on their partial-freight list.</t>
  </si>
  <si>
    <t xml:space="preserve">INFERRED from the 812 area code</t>
  </si>
  <si>
    <t xml:space="preserve">Transportation Express</t>
  </si>
  <si>
    <t xml:space="preserve">Central (NE) = 08:00 there</t>
  </si>
  <si>
    <t xml:space="preserve">The repair call. Open by owning the missed 24 Aug callback, then ask the rate on L1 - it is not posted.</t>
  </si>
  <si>
    <t xml:space="preserve">INFERRED - 24 Aug a human answered on a weekday</t>
  </si>
  <si>
    <t xml:space="preserve">Central (TX) = 08:00 there</t>
  </si>
  <si>
    <t xml:space="preserve">Ask for ANGIE by name - two previous calls died in their IVR. Rate on L7 is not posted; confirm the 8,000 lb weight.</t>
  </si>
  <si>
    <t xml:space="preserve">INFERRED from the 903 area code</t>
  </si>
  <si>
    <t xml:space="preserve">Central (IA) = 08:00 there</t>
  </si>
  <si>
    <t xml:space="preserve">Low priority. Only to ask what length and weight ref 1181425 actually is.</t>
  </si>
  <si>
    <t xml:space="preserve">INFERRED from Iowa base</t>
  </si>
  <si>
    <t xml:space="preserve">DEPARTURE DEADLINES  -  when Justin has to be rolling</t>
  </si>
  <si>
    <t xml:space="preserve">Leave by (ET)</t>
  </si>
  <si>
    <t xml:space="preserve">Loads at</t>
  </si>
  <si>
    <t xml:space="preserve">Which load</t>
  </si>
  <si>
    <t xml:space="preserve">What it means</t>
  </si>
  <si>
    <t xml:space="preserve">08:50</t>
  </si>
  <si>
    <t xml:space="preserve">1100</t>
  </si>
  <si>
    <t xml:space="preserve">L4 Selmer - front of the window</t>
  </si>
  <si>
    <t xml:space="preserve">The good version. Full HOS margin, arrives Selmer with hours to spare.</t>
  </si>
  <si>
    <t xml:space="preserve">09:50</t>
  </si>
  <si>
    <t xml:space="preserve">1200</t>
  </si>
  <si>
    <t xml:space="preserve">L4, or L3 if they ever move the clock</t>
  </si>
  <si>
    <t xml:space="preserve">Still fine for L4. L3 only works if the delivery window moves to 1100-1200.</t>
  </si>
  <si>
    <t xml:space="preserve">10:50</t>
  </si>
  <si>
    <t xml:space="preserve">1300</t>
  </si>
  <si>
    <t xml:space="preserve">L4 Selmer</t>
  </si>
  <si>
    <t xml:space="preserve">Now the split is mandatory - 8 h drive, 10 h off, finish in the morning.</t>
  </si>
  <si>
    <t xml:space="preserve">11:50</t>
  </si>
  <si>
    <t xml:space="preserve">1400</t>
  </si>
  <si>
    <t xml:space="preserve">L4 Selmer - last possible</t>
  </si>
  <si>
    <t xml:space="preserve">The window shuts. Past this, both Venture loads are gone for today.</t>
  </si>
  <si>
    <t xml:space="preserve">AND THE THING THAT MAKES ALL OF THIS LOW-STAKES: Freightwatch (L10) picks up TOMORROW, 9 Sep. It is ranked first, it pays roughly $400 more than L4 over near-identical miles, and it carries no late-delivery fine. If Venture never comes good today, nothing has actually been lost - so do not accept a bad number just because the clock is running.</t>
  </si>
  <si>
    <t xml:space="preserve">COPY DECK  -  select the rows, press Ctrl+C, paste</t>
  </si>
  <si>
    <t xml:space="preserve">Every message is one line per ROW here, NOT one big cell. That is the whole point: a cell with line breaks copies with quotes around it, rows do not.</t>
  </si>
  <si>
    <t xml:space="preserve">HOW TO COPY A MESSAGE</t>
  </si>
  <si>
    <t xml:space="preserve">1. Find the orange bar for the message you want. It tells you the exact row numbers.</t>
  </si>
  <si>
    <t xml:space="preserve">2. Click the FIRST row number in the grey margin on the left, then SHIFT-click the LAST row number. The whole block goes blue.</t>
  </si>
  <si>
    <t xml:space="preserve">3. Ctrl+C, then Ctrl+V into your email or the 123Loadboard message box.</t>
  </si>
  <si>
    <t xml:space="preserve">4. Replace anything in [SQUARE BRACKETS] - your name, your phone, your email, the agreed rate.</t>
  </si>
  <si>
    <t xml:space="preserve">Do NOT click a single cell and copy that - one cell holding several lines is what puts quote marks round it.</t>
  </si>
  <si>
    <t xml:space="preserve">IF THE PASTE STILL COMES OUT AS A TABLE (some mail apps do this with rows from a sheet):</t>
  </si>
  <si>
    <t xml:space="preserve">open the matching file in the dispatch/messages/ folder instead - Notepad, Ctrl+A, Ctrl+C. That always pastes as plain text.</t>
  </si>
  <si>
    <t xml:space="preserve">Third option for any single cell anywhere in this workbook: click it, press F2, Ctrl+A, Ctrl+C, then Esc. That copies the raw text with no quote marks.</t>
  </si>
  <si>
    <t xml:space="preserve">◆  L10   ·   Freightwatch, LLC   ·   Lexington, OH &gt; Channahon, IL</t>
  </si>
  <si>
    <t xml:space="preserve">Channels: Phone + Email + Message + BID    |    BID: $1,300</t>
  </si>
  <si>
    <t xml:space="preserve">How to play it: Bid $1,300. Do the Message, the Bid AND the call - all three, they cost nothing.</t>
  </si>
  <si>
    <t xml:space="preserve">BOARD MESSAGE / PHONE SCRIPT   →   select rows 20 to 30, then Ctrl+C</t>
  </si>
  <si>
    <t xml:space="preserve">Ref 111676 - Lexington OH to Channahon IL, steel stair system.</t>
  </si>
  <si>
    <t xml:space="preserve">Munster Logistics LLC - MC-84057665 / USDOT 7555217. 30 ft gooseneck deck (25+5), 102 in wide, 9,000 lb max payload. Flat tarps, Grade 80 chains and binders, straps and mega ramps on board. $1M auto liability / $100k cargo. Based New Richmond, OH 45157.</t>
  </si>
  <si>
    <t xml:space="preserve">We are empty and 146 mi out - can be on site Wed 9/9 morning and deliver 9/10.</t>
  </si>
  <si>
    <t xml:space="preserve">Two questions before we commit:</t>
  </si>
  <si>
    <t xml:space="preserve">1) What is the overall LENGTH of the stair system? Your posting shows it blank and our deck is 30 ft.</t>
  </si>
  <si>
    <t xml:space="preserve">2) Do you run a new-authority rule, and how many days? Our MC was granted 7 Aug 2026.</t>
  </si>
  <si>
    <t xml:space="preserve">We can cover it at $1,300. Call or text [YOUR NUMBER].</t>
  </si>
  <si>
    <t xml:space="preserve">EMAIL TO:  quotes+123lb@freightwatchlogistics.com</t>
  </si>
  <si>
    <t xml:space="preserve">SUBJECT</t>
  </si>
  <si>
    <t xml:space="preserve">EMAIL BODY   →   select rows 36 to 53, then Ctrl+C</t>
  </si>
  <si>
    <t xml:space="preserve">Hi,</t>
  </si>
  <si>
    <t xml:space="preserve">We can cover your ref 111676, Lexington OH to Channahon IL (steel stair system, 4,700 lbs), picking up Wednesday 9 September and delivering 9/10.</t>
  </si>
  <si>
    <t xml:space="preserve">Equipment: Munster Logistics LLC - MC-84057665 / USDOT 7555217. 30 ft gooseneck deck (25+5), 102 in wide, 9,000 lb max payload. Flat tarps, Grade 80 chains and binders, straps and mega ramps on board. $1M auto liability / $100k cargo. Based New Richmond, OH 45157.</t>
  </si>
  <si>
    <t xml:space="preserve">Before we confirm, two things your posting does not answer:</t>
  </si>
  <si>
    <t xml:space="preserve">  1. What is the overall LENGTH of the stair system? The length field is blank and our deck is 30 ft. If it runs longer than that we are not your truck and I would rather tell you now.</t>
  </si>
  <si>
    <t xml:space="preserve">  2. Do you run a new-authority rule, and how many days? Our MC authority was granted 7 August 2026.</t>
  </si>
  <si>
    <t xml:space="preserve">Rate: your posting shows $800. Lexington is 146 empty miles from us, so that is 513 total miles on the truck. We can do it at $1,300, which is in line with the $1,287 your own board's Rate Check shows on this lane.</t>
  </si>
  <si>
    <t xml:space="preserve">Happy to send our carrier packet, W-9 and certificate of insurance straight over.</t>
  </si>
  <si>
    <t xml:space="preserve">Thanks,</t>
  </si>
  <si>
    <t xml:space="preserve">[YOUR NAME]</t>
  </si>
  <si>
    <t xml:space="preserve">Munster Logistics LLC</t>
  </si>
  <si>
    <t xml:space="preserve">[YOUR PHONE] | [YOUR EMAIL]</t>
  </si>
  <si>
    <t xml:space="preserve">◆  L3 FINAL   ·   Venture Connect LLC   ·   Shelbyville, IN &gt; Stanhope, NJ</t>
  </si>
  <si>
    <t xml:space="preserve">Channels: EMAIL IS A BOT - PHONE (317) 854-5027    |    BID: $1,600</t>
  </si>
  <si>
    <t xml:space="preserve">How to play it: DO NOT BID AGAINST YOURSELF. They asked 'can you do any better' having answered nothing - dropping now teaches the bot to keep asking. Hold $1,600 once, then either phone or walk. Floor is $1,500 and the schedule still does not work at ANY price.</t>
  </si>
  <si>
    <t xml:space="preserve">BOARD MESSAGE / PHONE SCRIPT   →   select rows 62 to 72, then Ctrl+C</t>
  </si>
  <si>
    <t xml:space="preserve">PHONE SCRIPT - (317) 854-5027, ask for a human on ref 2177463-2099008.</t>
  </si>
  <si>
    <t xml:space="preserve">Hi, this is [YOUR NAME] with Munster Logistics, MC-84057665 - 30 ft hotshot gooseneck out of Cincinnati. I've been going back and forth with your email on ref 2177463-2099008 and it keeps quoting me a price without answering my questions, so I wanted a person.</t>
  </si>
  <si>
    <t xml:space="preserve">Two things and I'll be quick:</t>
  </si>
  <si>
    <t xml:space="preserve">1) THE CLOCK. You have pickup Shelbyville 09/08 at 1200 and delivery Stanhope 09/09 between 0800 and 1000. That's 655 loaded miles. Solo, that's over the 11-hour driving limit, so it splits with a 10-hour break, and arrival lands around 1050 - about fifty minutes past your window. I'm not going to tell you I can hit a window I can't legally hit, especially with tracking on and fines attached. Move the pickup to 1100 or the delivery to 1100-1200 and I'll run it.</t>
  </si>
  <si>
    <t xml:space="preserve">2) THE FINE. What's the actual amount of the late-delivery fine? I need that figure on the rate confirmation before I commit to anything.</t>
  </si>
  <si>
    <t xml:space="preserve">With one of those fixed, I'm at $1,600. And whatever happens on this one - your system has told me three times now you're looking for a 30 FT HOTSHOT. That's exactly what this truck is. Get us on your list.</t>
  </si>
  <si>
    <t xml:space="preserve">EMAIL TO:  loads@ventureconnect.mail.parade.ai  -  AUTOMATED (Parade). Price only. It will not answer questions.</t>
  </si>
  <si>
    <t xml:space="preserve">EMAIL BODY   →   select rows 78 to 92, then Ctrl+C</t>
  </si>
  <si>
    <t xml:space="preserve">SHORT AND FINAL - do not write another long one, the thread is automated.</t>
  </si>
  <si>
    <t xml:space="preserve">No, I can't do better than $1,600 - and the rate is not actually what is blocking this.</t>
  </si>
  <si>
    <t xml:space="preserve">I have asked twice now and not had an answer: with a 1200 pickup at Shelbyville, a solo driver cannot legally cover 655 miles and deliver Stanhope inside an 0800-1000 window. It needs the pickup at 1100 or the delivery at 1100-1200. And I still need the AMOUNT of the late-delivery fine in writing.</t>
  </si>
  <si>
    <t xml:space="preserve">Answer those two and I'll cover it at $1,600 today. If the system there can't move an appointment, please have someone call me on [YOUR PHONE].</t>
  </si>
  <si>
    <t xml:space="preserve">Either way, send me ref 2178262-2099817 (Shelbyville IN to Selmer TN) and put us on your list - you have told me three times you want a 30 FT HOTSHOT, and that is exactly what we are. Munster Logistics LLC, MC-84057665 / USDOT 7555217.</t>
  </si>
  <si>
    <t xml:space="preserve">◆  L4 FINAL   ·   Venture Connect LLC   ·   Shelbyville, IN &gt; Selmer, TN</t>
  </si>
  <si>
    <t xml:space="preserve">Channels: Bot held at $900 twice - decision point    |    BID: $1,025</t>
  </si>
  <si>
    <t xml:space="preserve">How to play it: THE FINE, NOT THE RATE, IS THE REAL BLOCKER NOW. Four asks, no answer. Do not accept $900 or any number until someone names it - one bad morning on a jobsite with an uncapped fine can swallow the whole load.</t>
  </si>
  <si>
    <t xml:space="preserve">BOARD MESSAGE / PHONE SCRIPT   →   select rows 101 to 107, then Ctrl+C</t>
  </si>
  <si>
    <t xml:space="preserve">PHONE (317) 854-5027 if you want this load. The email will keep saying $900 and will not tell you the fine.</t>
  </si>
  <si>
    <t xml:space="preserve">Ask a human two things:</t>
  </si>
  <si>
    <t xml:space="preserve">1) What is the AMOUNT of the late-delivery fine? (Asked four times by email across both loads, never answered.)</t>
  </si>
  <si>
    <t xml:space="preserve">2) $1,025 - that is exactly what the truck breaks even at on this run. 92 deadhead plus 417 loaded is 509 miles for your $900, which is $1.77 a mile.</t>
  </si>
  <si>
    <t xml:space="preserve">If they hold at $900 and the fine turns out to be small and capped, it is a defensible first load. If they will not name the fine, walk - you cannot price a penalty you have not been told.</t>
  </si>
  <si>
    <t xml:space="preserve">EMAIL TO:  loads@ventureconnect.mail.parade.ai</t>
  </si>
  <si>
    <t xml:space="preserve">EMAIL BODY   →   select rows 113 to 127, then Ctrl+C</t>
  </si>
  <si>
    <t xml:space="preserve">I'll meet you close: $1,025 and it is covered, loading at the front of your 1100-1400 window.</t>
  </si>
  <si>
    <t xml:space="preserve">That is not a negotiating number - it is what the truck breaks even at. Shelbyville is 92 deadhead miles from us, so 509 total miles turn for this load. $900 is $1.77 a mile before fuel.</t>
  </si>
  <si>
    <t xml:space="preserve">And I still need one answer before I can commit at any price: what is the AMOUNT of the late-delivery fine? I have asked four times now across your two loads and not had it. I am not able to accept a penalty I have not been told the size of. Put the figure on the rate confirmation with the TRANSCOR pickup number and I will sign it today.</t>
  </si>
  <si>
    <t xml:space="preserve">Munster Logistics LLC, MC-84057665 / USDOT 7555217. 30 ft gooseneck deck, 9,000 lb max, $1M auto / $100k cargo. No tarps, TRANSCOR check-in, hard hat / high-viz / closed-toe shoes - all understood.</t>
  </si>
  <si>
    <t xml:space="preserve">If $1,025 is not workable, no hard feelings - please still put us on your list for 20-30 ft hotshot freight out of Indiana and Ohio. Your own system has told me four times that is the equipment you are looking for.</t>
  </si>
  <si>
    <t xml:space="preserve">◆  L2   ·   Warren Transport, Inc.   ·   Union City, IN &gt; Heyburn, ID</t>
  </si>
  <si>
    <t xml:space="preserve">Channels: Phone + Email + Message  (no Bid)</t>
  </si>
  <si>
    <t xml:space="preserve">How to play it: No bid button on this posting. This is an information request, not an offer - the Idaho run breaks the weekend-home rule anyway.</t>
  </si>
  <si>
    <t xml:space="preserve">BOARD MESSAGE / PHONE SCRIPT   →   select rows 136 to 142, then Ctrl+C</t>
  </si>
  <si>
    <t xml:space="preserve">Ref 1181425 - Union City IN to Heyburn ID.</t>
  </si>
  <si>
    <t xml:space="preserve">Your posting shows no length and no weight. Could you confirm both? We run a 30 ft gooseneck deck at 9,000 lb max, so we can only take it if it genuinely fits that.</t>
  </si>
  <si>
    <t xml:space="preserve">Separately - do you post shorter regional flatbed freight out of Indiana and Ohio? That is our lane and we would like to be on your list.</t>
  </si>
  <si>
    <t xml:space="preserve">EMAIL TO:  loads@warrentransport.com</t>
  </si>
  <si>
    <t xml:space="preserve">EMAIL BODY   →   select rows 148 to 161, then Ctrl+C</t>
  </si>
  <si>
    <t xml:space="preserve">Your posting 1181425 (Union City IN to Heyburn ID, flatbed, qty 15) does not show a length or a weight. Could you confirm both?</t>
  </si>
  <si>
    <t xml:space="preserve">We run a 30 ft gooseneck deck at 9,000 lb max payload, so we can only take it if it genuinely fits that - I would rather ask than waste your time.</t>
  </si>
  <si>
    <t xml:space="preserve">Separately: do you post shorter regional flatbed freight out of Indiana and Ohio? That is our lane and we would like to be on your list. Also, do you run a new-authority rule, and if so how many days?</t>
  </si>
  <si>
    <t xml:space="preserve">◆  L8   ·   Whitewater Freight Inc   ·   Pandora, OH &gt; Easton, ME</t>
  </si>
  <si>
    <t xml:space="preserve">How to play it: No bid. Send the capacity intro, not an offer. The relationship is worth more than this load.</t>
  </si>
  <si>
    <t xml:space="preserve">BOARD MESSAGE / PHONE SCRIPT   →   select rows 170 to 176, then Ctrl+C</t>
  </si>
  <si>
    <t xml:space="preserve">Ref 0640725 - Pandora OH to Easton ME.</t>
  </si>
  <si>
    <t xml:space="preserve">Straight answer: at $1,850 this does not work for us. It is 139 empty miles to Pandora plus 1,122 loaded, and Easton ME leaves us empty a very long way home. We would need $2,525 to cover it.</t>
  </si>
  <si>
    <t xml:space="preserve">What we would rather do is be on your partial list. Munster Logistics LLC - MC-84057665 / USDOT 7555217. 30 ft gooseneck deck (25+5), 102 in wide, 9,000 lb max payload. Flat tarps, Grade 80 chains and binders, straps and mega ramps on board. $1M auto liability / $100k cargo. Based New Richmond, OH 45157.</t>
  </si>
  <si>
    <t xml:space="preserve">Partials of 10-30 ft up to 9,000 lbs are exactly what this truck is built for. Midwest, Mid-Atlantic and South-East lanes suit us best, and we are empty out of Cincinnati most weekday mornings.</t>
  </si>
  <si>
    <t xml:space="preserve">EMAIL TO:  loads@whitewaterfreight.com</t>
  </si>
  <si>
    <t xml:space="preserve">EMAIL BODY   →   select rows 182 to 197, then Ctrl+C</t>
  </si>
  <si>
    <t xml:space="preserve">I saw you post partial flatbed freight regularly and wanted to put our truck on your list rather than only catching you on the board.</t>
  </si>
  <si>
    <t xml:space="preserve">Partials of 10-30 ft and up to 9,000 lbs are exactly what this truck is built for. Midwest, Mid-Atlantic and South-East lanes work best for us, and we are empty out of the Cincinnati area most weekday mornings.</t>
  </si>
  <si>
    <t xml:space="preserve">On your current ref 0640725 (Pandora OH to Easton ME) - at $1,850 we cannot cover it; with 139 empty miles to Pandora and the run home out of northern Maine we would need $2,525. If that is workable, tell me. If not, no problem - I would still like to be on the list for your Midwest partials.</t>
  </si>
  <si>
    <t xml:space="preserve">Two questions: do you run a new-authority rule, and how many days? And what does your setup packet need?</t>
  </si>
  <si>
    <t xml:space="preserve">◆  L5   ·   Fenichey LLC   ·   Louisville, KY &gt; Newington, CT</t>
  </si>
  <si>
    <t xml:space="preserve">Channels: Phone + Email + Message + BID</t>
  </si>
  <si>
    <t xml:space="preserve">How to play it: DO NOT BID. The load is a hard reject on equipment. Sending an honest 'not our truck' note is what gets remembered.</t>
  </si>
  <si>
    <t xml:space="preserve">BOARD MESSAGE / PHONE SCRIPT   →   select rows 206 to 210, then Ctrl+C</t>
  </si>
  <si>
    <t xml:space="preserve">Ref 140339 - we are not your truck on this one. Your note calls for a dedicated 48 or 53 ft stepdeck with full tarping; we run a 30 ft gooseneck deck at 9,000 lb max, so we would be wasting your time bidding.</t>
  </si>
  <si>
    <t xml:space="preserve">What we would like is to be on your list for the smaller freight. Munster Logistics LLC - MC-84057665 / USDOT 7555217. 30 ft gooseneck deck (25+5), 102 in wide, 9,000 lb max payload. Flat tarps, Grade 80 chains and binders, straps and mega ramps on board. $1M auto liability / $100k cargo. Based New Richmond, OH 45157.</t>
  </si>
  <si>
    <t xml:space="preserve">Do you post 30 ft / 9,000 lb partials? We are empty out of Cincinnati most weekday mornings and we do run into the north-east.</t>
  </si>
  <si>
    <t xml:space="preserve">EMAIL TO:  boardresponse+123lb@fenichey.com</t>
  </si>
  <si>
    <t xml:space="preserve">EMAIL BODY   →   select rows 216 to 229, then Ctrl+C</t>
  </si>
  <si>
    <t xml:space="preserve">Your ref 140339 (Louisville KY to Newington CT) calls for a dedicated 48 or 53 ft stepdeck with full tarping. We run a 30 ft gooseneck deck at 9,000 lb max payload, so we are not your truck on that one and I will not waste your time bidding it.</t>
  </si>
  <si>
    <t xml:space="preserve">What I would like is to be on your list for the smaller freight. Equipment: Munster Logistics LLC - MC-84057665 / USDOT 7555217. 30 ft gooseneck deck (25+5), 102 in wide, 9,000 lb max payload. Flat tarps, Grade 80 chains and binders, straps and mega ramps on board. $1M auto liability / $100k cargo. Based New Richmond, OH 45157.</t>
  </si>
  <si>
    <t xml:space="preserve">Do you post 30 ft / 9,000 lb partials? We are empty out of the Cincinnati area most weekday mornings and we run into the north-east regularly.</t>
  </si>
  <si>
    <t xml:space="preserve">Also, do you run a new-authority rule, and how many days?</t>
  </si>
  <si>
    <t xml:space="preserve">◆  L6   ·   Fifth Wheel Freight   ·   Huntington, WV &gt; Sparrows Point, MD</t>
  </si>
  <si>
    <t xml:space="preserve">Channels: Phone only  (no Message / Bid / email on the posting)</t>
  </si>
  <si>
    <t xml:space="preserve">How to play it: Phone only. The email is the follow-up AFTER the call, and its real job is the last paragraph - getting on their list.</t>
  </si>
  <si>
    <t xml:space="preserve">BOARD MESSAGE / PHONE SCRIPT   →   select rows 238 to 238, then Ctrl+C</t>
  </si>
  <si>
    <t xml:space="preserve">NOT AVAILABLE - this posting has no Message button and no email address. It is a phone call: (616) 965-7277 ext 8530. Use the CALL SCRIPTS tab.</t>
  </si>
  <si>
    <t xml:space="preserve">EMAIL TO:  ASK FOR IT ON THE CALL - no email is published on this posting</t>
  </si>
  <si>
    <t xml:space="preserve">EMAIL BODY   →   select rows 244 to 264, then Ctrl+C</t>
  </si>
  <si>
    <t xml:space="preserve">SEND THIS ONLY AFTER THE CALL, once they give you an address.</t>
  </si>
  <si>
    <t xml:space="preserve">Hi [NAME],</t>
  </si>
  <si>
    <t xml:space="preserve">Thanks for your time on the phone. Confirming what we discussed on ref 758397, Huntington WV to Sparrows Point MD (11 ft, 6,000 lbs):</t>
  </si>
  <si>
    <t xml:space="preserve">  Rate agreed: $[AGREED]</t>
  </si>
  <si>
    <t xml:space="preserve">  Pickup: [DATE / TIME]</t>
  </si>
  <si>
    <t xml:space="preserve">  Delivery: [DATE / TIME]</t>
  </si>
  <si>
    <t xml:space="preserve">  MacroPoint: accepted - send the tracking request to [YOUR PHONE]</t>
  </si>
  <si>
    <t xml:space="preserve">Please send the rate confirmation. Our carrier packet, W-9 and certificate of insurance are attached.</t>
  </si>
  <si>
    <t xml:space="preserve">And separately - please keep us on your list. You post a lot of freight sized exactly to this deck and we are empty out of Cincinnati most weekday mornings.</t>
  </si>
  <si>
    <t xml:space="preserve">◆  L9   ·   Fifth Wheel Freight   ·   Fort Wayne, IN &gt; Cedar Point, KS</t>
  </si>
  <si>
    <t xml:space="preserve">How to play it: Phone only, ext 8550. Same broker as L6 - one call, both loads. Do not ring twice.</t>
  </si>
  <si>
    <t xml:space="preserve">BOARD MESSAGE / PHONE SCRIPT   →   select rows 273 to 273, then Ctrl+C</t>
  </si>
  <si>
    <t xml:space="preserve">NOT AVAILABLE - phone only: (616) 965-7277 ext 8550.</t>
  </si>
  <si>
    <t xml:space="preserve">EMAIL BODY   →   select rows 279 to 294, then Ctrl+C</t>
  </si>
  <si>
    <t xml:space="preserve">SEND THIS ONLY AFTER THE CALL.</t>
  </si>
  <si>
    <t xml:space="preserve">Following up on ref 757767, Fort Wayne IN to Cedar Point KS (14 ft, 6,033 lbs).</t>
  </si>
  <si>
    <t xml:space="preserve">At $1,400 we cannot cover it - Fort Wayne is 153 empty miles from us and Cedar Point leaves the truck a long way from any reload. At $2,000 we will take it.</t>
  </si>
  <si>
    <t xml:space="preserve">If that does not work, no problem. What else do you have moving east or south out of Indiana and Ohio this week? That is our lane and we would rather build the list than chase one load.</t>
  </si>
  <si>
    <t xml:space="preserve">◆  L1   ·   Transportation Express American Motorways Inc.   ·   Piqua, OH &gt; Pineville, NC</t>
  </si>
  <si>
    <t xml:space="preserve">How to play it: Phone only. Open the CALL by owning the missed 24 Aug callback - the email alone will not fix that.</t>
  </si>
  <si>
    <t xml:space="preserve">BOARD MESSAGE / PHONE SCRIPT   →   select rows 303 to 303, then Ctrl+C</t>
  </si>
  <si>
    <t xml:space="preserve">NOT AVAILABLE - phone only: (402) 564-6375. This is the repair call - see CALL SCRIPTS.</t>
  </si>
  <si>
    <t xml:space="preserve">EMAIL BODY   →   select rows 309 to 326, then Ctrl+C</t>
  </si>
  <si>
    <t xml:space="preserve">Thanks for taking the call, and again - sorry it took us this long to get a live person back to you after 24 August.</t>
  </si>
  <si>
    <t xml:space="preserve">On your Piqua OH to Pineville NC load: [RATE DISCUSSED / STATUS].</t>
  </si>
  <si>
    <t xml:space="preserve">Worth knowing: that load only uses 4 ft of our 30 ft deck. If you have a second partial heading the same direction we can take both on one truck, which is cheaper for you than two carriers. Piqua is only 82 miles from us so we can be there early.</t>
  </si>
  <si>
    <t xml:space="preserve">Please keep us on your list - we are empty out of Cincinnati most weekday mornings.</t>
  </si>
  <si>
    <t xml:space="preserve">◆  L7   ·   Joe Tex, Inc.   ·   Muncie, IN &gt; Decatur, IL</t>
  </si>
  <si>
    <t xml:space="preserve">How to play it: Phone only. Ask for Angie by name - working the menu has failed twice.</t>
  </si>
  <si>
    <t xml:space="preserve">BOARD MESSAGE / PHONE SCRIPT   →   select rows 335 to 335, then Ctrl+C</t>
  </si>
  <si>
    <t xml:space="preserve">NOT AVAILABLE - phone only: (903) 537-7100. Ask for Angie by name - two previous calls died in the IVR.</t>
  </si>
  <si>
    <t xml:space="preserve">EMAIL BODY   →   select rows 341 to 358, then Ctrl+C</t>
  </si>
  <si>
    <t xml:space="preserve">Hi Angie,</t>
  </si>
  <si>
    <t xml:space="preserve">Thanks for your time. Confirming ref 519281, Muncie IN to Decatur IL:</t>
  </si>
  <si>
    <t xml:space="preserve">  Confirmed weight: [ ] lbs  (our hard ceiling is 9,000 lbs)</t>
  </si>
  <si>
    <t xml:space="preserve">One admin point: our records show a 'Joe Tex LLC' from an earlier call and your posting reads 'Joe Tex, Inc.' - could you confirm which is correct so we file you properly?</t>
  </si>
  <si>
    <t xml:space="preserve">ANALYSIS  -  where the money and the empty miles actually are</t>
  </si>
  <si>
    <t xml:space="preserve">Every number below is pulled live from SHORTLIST and ALL LOADS. Change a Target Ask over there and these charts move.</t>
  </si>
  <si>
    <t xml:space="preserve">DATA BLOCK  (live - do not retype, it reads from the other tabs)</t>
  </si>
  <si>
    <t xml:space="preserve">Floor $/mi</t>
  </si>
  <si>
    <t xml:space="preserve">Target ask $</t>
  </si>
  <si>
    <t xml:space="preserve">BROKER EXPOSURE  (from ALL LOADS)</t>
  </si>
  <si>
    <t xml:space="preserve">Loads on the board</t>
  </si>
  <si>
    <t xml:space="preserve">Of those, loads that fit the truck</t>
  </si>
  <si>
    <t xml:space="preserve">Times contacted to date</t>
  </si>
  <si>
    <t xml:space="preserve">Reading the charts: chart 1 is the only one that decides anything - any blue bar below the orange line is a load that loses money once the empty miles are counted. Chart 2 shows why: on L9 the truck runs 153 miles for free before it earns a cent. Chart 4 is the relationship picture - Venture Connect posts two loads that fit the deck and has never once been contacted, which is the clearest gap on the board.</t>
  </si>
</sst>
</file>

<file path=xl/styles.xml><?xml version="1.0" encoding="utf-8"?>
<styleSheet xmlns="http://schemas.openxmlformats.org/spreadsheetml/2006/main">
  <numFmts count="7">
    <numFmt numFmtId="164" formatCode="General"/>
    <numFmt numFmtId="165" formatCode="General"/>
    <numFmt numFmtId="166" formatCode="#,##0"/>
    <numFmt numFmtId="167" formatCode="\$#,##0"/>
    <numFmt numFmtId="168" formatCode="\$0.00"/>
    <numFmt numFmtId="169" formatCode="0.0"/>
    <numFmt numFmtId="170" formatCode="yyyy\-mm\-dd"/>
  </numFmts>
  <fonts count="4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FFFFFF"/>
      <name val="Arial"/>
      <family val="0"/>
      <charset val="1"/>
    </font>
    <font>
      <b val="true"/>
      <sz val="11"/>
      <color rgb="FFFFFFFF"/>
      <name val="Arial"/>
      <family val="0"/>
      <charset val="1"/>
    </font>
    <font>
      <b val="true"/>
      <sz val="10"/>
      <color rgb="FF10223B"/>
      <name val="Arial"/>
      <family val="0"/>
      <charset val="1"/>
    </font>
    <font>
      <sz val="10"/>
      <color rgb="FF1A1A1A"/>
      <name val="Arial"/>
      <family val="0"/>
      <charset val="1"/>
    </font>
    <font>
      <sz val="10"/>
      <color rgb="FFB3261E"/>
      <name val="Arial"/>
      <family val="0"/>
      <charset val="1"/>
    </font>
    <font>
      <b val="true"/>
      <sz val="9"/>
      <color rgb="FFFFFFFF"/>
      <name val="Arial"/>
      <family val="0"/>
      <charset val="1"/>
    </font>
    <font>
      <b val="true"/>
      <sz val="10"/>
      <color rgb="FF0883F7"/>
      <name val="Arial"/>
      <family val="0"/>
      <charset val="1"/>
    </font>
    <font>
      <i val="true"/>
      <sz val="9"/>
      <color rgb="FF5A6472"/>
      <name val="Arial"/>
      <family val="0"/>
      <charset val="1"/>
    </font>
    <font>
      <b val="true"/>
      <sz val="11"/>
      <color rgb="FF1A1A1A"/>
      <name val="Arial"/>
      <family val="0"/>
      <charset val="1"/>
    </font>
    <font>
      <b val="true"/>
      <sz val="10"/>
      <color rgb="FFFC5305"/>
      <name val="Arial"/>
      <family val="0"/>
      <charset val="1"/>
    </font>
    <font>
      <b val="true"/>
      <sz val="14"/>
      <color rgb="FFFC5305"/>
      <name val="Arial"/>
      <family val="0"/>
      <charset val="1"/>
    </font>
    <font>
      <b val="true"/>
      <sz val="12"/>
      <color rgb="FF10223B"/>
      <name val="Arial"/>
      <family val="0"/>
      <charset val="1"/>
    </font>
    <font>
      <b val="true"/>
      <sz val="9"/>
      <color rgb="FF10223B"/>
      <name val="Arial"/>
      <family val="0"/>
      <charset val="1"/>
    </font>
    <font>
      <b val="true"/>
      <sz val="9"/>
      <color rgb="FF1A1A1A"/>
      <name val="Arial"/>
      <family val="0"/>
      <charset val="1"/>
    </font>
    <font>
      <sz val="9"/>
      <color rgb="FF1A1A1A"/>
      <name val="Arial"/>
      <family val="0"/>
      <charset val="1"/>
    </font>
    <font>
      <b val="true"/>
      <sz val="9"/>
      <color rgb="FF0000FF"/>
      <name val="Arial"/>
      <family val="0"/>
      <charset val="1"/>
    </font>
    <font>
      <b val="true"/>
      <sz val="9"/>
      <color rgb="FFB3261E"/>
      <name val="Arial"/>
      <family val="0"/>
      <charset val="1"/>
    </font>
    <font>
      <sz val="10"/>
      <name val="Arial"/>
      <family val="2"/>
    </font>
    <font>
      <b val="true"/>
      <sz val="11"/>
      <color rgb="FF0000FF"/>
      <name val="Arial"/>
      <family val="0"/>
      <charset val="1"/>
    </font>
    <font>
      <b val="true"/>
      <sz val="10"/>
      <color rgb="FF1A1A1A"/>
      <name val="Arial"/>
      <family val="0"/>
      <charset val="1"/>
    </font>
    <font>
      <sz val="9"/>
      <color rgb="FF0000FF"/>
      <name val="Arial"/>
      <family val="0"/>
      <charset val="1"/>
    </font>
    <font>
      <b val="true"/>
      <sz val="9"/>
      <color rgb="FFB26A00"/>
      <name val="Arial"/>
      <family val="0"/>
      <charset val="1"/>
    </font>
    <font>
      <b val="true"/>
      <i val="true"/>
      <sz val="9"/>
      <color rgb="FF6B7280"/>
      <name val="Arial"/>
      <family val="0"/>
      <charset val="1"/>
    </font>
    <font>
      <i val="true"/>
      <sz val="9"/>
      <color rgb="FF8A94A6"/>
      <name val="Arial"/>
      <family val="0"/>
      <charset val="1"/>
    </font>
    <font>
      <sz val="9"/>
      <name val="Courier New"/>
      <family val="0"/>
      <charset val="1"/>
    </font>
    <font>
      <b val="true"/>
      <sz val="9"/>
      <name val="Arial"/>
      <family val="0"/>
      <charset val="1"/>
    </font>
    <font>
      <b val="true"/>
      <sz val="9"/>
      <color rgb="FF1B7F4B"/>
      <name val="Arial"/>
      <family val="0"/>
      <charset val="1"/>
    </font>
    <font>
      <b val="true"/>
      <sz val="9"/>
      <color rgb="FFFC5305"/>
      <name val="Arial"/>
      <family val="0"/>
      <charset val="1"/>
    </font>
    <font>
      <b val="true"/>
      <sz val="10"/>
      <color rgb="FF0000FF"/>
      <name val="Arial"/>
      <family val="0"/>
      <charset val="1"/>
    </font>
    <font>
      <i val="true"/>
      <sz val="9"/>
      <color rgb="FFB26A00"/>
      <name val="Arial"/>
      <family val="0"/>
      <charset val="1"/>
    </font>
    <font>
      <i val="true"/>
      <sz val="10"/>
      <color rgb="FF5A6472"/>
      <name val="Arial"/>
      <family val="0"/>
      <charset val="1"/>
    </font>
    <font>
      <b val="true"/>
      <sz val="12"/>
      <color rgb="FFFC5305"/>
      <name val="Arial"/>
      <family val="0"/>
      <charset val="1"/>
    </font>
    <font>
      <b val="true"/>
      <sz val="10"/>
      <color rgb="FFFFFFFF"/>
      <name val="Arial"/>
      <family val="0"/>
      <charset val="1"/>
    </font>
    <font>
      <sz val="10"/>
      <color rgb="FF1A1A1A"/>
      <name val="Consolas"/>
      <family val="0"/>
      <charset val="1"/>
    </font>
    <font>
      <b val="true"/>
      <sz val="8"/>
      <color rgb="FF0883F7"/>
      <name val="Arial"/>
      <family val="0"/>
      <charset val="1"/>
    </font>
    <font>
      <b val="true"/>
      <sz val="10"/>
      <color rgb="FF1A1A1A"/>
      <name val="Consolas"/>
      <family val="0"/>
      <charset val="1"/>
    </font>
    <font>
      <b val="true"/>
      <sz val="18"/>
      <color rgb="FF000000"/>
      <name val="Calibri"/>
      <family val="2"/>
    </font>
    <font>
      <sz val="10"/>
      <color rgb="FF000000"/>
      <name val="Calibri"/>
      <family val="2"/>
    </font>
    <font>
      <b val="true"/>
      <sz val="10"/>
      <color rgb="FF000000"/>
      <name val="Calibri"/>
      <family val="2"/>
    </font>
  </fonts>
  <fills count="12">
    <fill>
      <patternFill patternType="none"/>
    </fill>
    <fill>
      <patternFill patternType="gray125"/>
    </fill>
    <fill>
      <patternFill patternType="solid">
        <fgColor rgb="FF10223B"/>
        <bgColor rgb="FF1A1A1A"/>
      </patternFill>
    </fill>
    <fill>
      <patternFill patternType="solid">
        <fgColor rgb="FF0883F7"/>
        <bgColor rgb="FF3366FF"/>
      </patternFill>
    </fill>
    <fill>
      <patternFill patternType="solid">
        <fgColor rgb="FFFC5305"/>
        <bgColor rgb="FFB26A00"/>
      </patternFill>
    </fill>
    <fill>
      <patternFill patternType="solid">
        <fgColor rgb="FFFFF3CC"/>
        <bgColor rgb="FFFBE7E6"/>
      </patternFill>
    </fill>
    <fill>
      <patternFill patternType="solid">
        <fgColor rgb="FFEAF2FD"/>
        <bgColor rgb="FFF4F6F9"/>
      </patternFill>
    </fill>
    <fill>
      <patternFill patternType="solid">
        <fgColor rgb="FFFFFFFF"/>
        <bgColor rgb="FFF9F9F9"/>
      </patternFill>
    </fill>
    <fill>
      <patternFill patternType="solid">
        <fgColor rgb="FFF4F6F9"/>
        <bgColor rgb="FFF9F9F9"/>
      </patternFill>
    </fill>
    <fill>
      <patternFill patternType="solid">
        <fgColor rgb="FFB3261E"/>
        <bgColor rgb="FF993366"/>
      </patternFill>
    </fill>
    <fill>
      <patternFill patternType="solid">
        <fgColor rgb="FF6B7280"/>
        <bgColor rgb="FF5A6472"/>
      </patternFill>
    </fill>
    <fill>
      <patternFill patternType="solid">
        <fgColor rgb="FF1B7F4B"/>
        <bgColor rgb="FF008080"/>
      </patternFill>
    </fill>
  </fills>
  <borders count="4">
    <border diagonalUp="false" diagonalDown="false">
      <left/>
      <right/>
      <top/>
      <bottom/>
      <diagonal/>
    </border>
    <border diagonalUp="false" diagonalDown="false">
      <left style="thin">
        <color rgb="FFD5DBE3"/>
      </left>
      <right/>
      <top style="thin">
        <color rgb="FFD5DBE3"/>
      </top>
      <bottom/>
      <diagonal/>
    </border>
    <border diagonalUp="false" diagonalDown="false">
      <left style="thin">
        <color rgb="FFD5DBE3"/>
      </left>
      <right style="thin">
        <color rgb="FFD5DBE3"/>
      </right>
      <top style="thin">
        <color rgb="FFD5DBE3"/>
      </top>
      <bottom style="thin">
        <color rgb="FFD5DBE3"/>
      </bottom>
      <diagonal/>
    </border>
    <border diagonalUp="false" diagonalDown="false">
      <left style="thin">
        <color rgb="FFD5DBE3"/>
      </left>
      <right/>
      <top style="thin">
        <color rgb="FFD5DBE3"/>
      </top>
      <bottom style="thin">
        <color rgb="FFD5DB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1" shrinkToFit="false"/>
      <protection locked="true" hidden="false"/>
    </xf>
    <xf numFmtId="164" fontId="8" fillId="6" borderId="1" xfId="0" applyFont="true" applyBorder="true" applyAlignment="true" applyProtection="false">
      <alignment horizontal="general" vertical="top" textRotation="0" wrapText="true" indent="1"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1" fillId="6" borderId="2" xfId="0" applyFont="true" applyBorder="true" applyAlignment="true" applyProtection="false">
      <alignment horizontal="general" vertical="top" textRotation="0" wrapText="true" indent="1" shrinkToFit="false"/>
      <protection locked="true" hidden="false"/>
    </xf>
    <xf numFmtId="164" fontId="12" fillId="6" borderId="2" xfId="0" applyFont="true" applyBorder="true" applyAlignment="true" applyProtection="false">
      <alignment horizontal="general" vertical="top" textRotation="0" wrapText="true" indent="1" shrinkToFit="false"/>
      <protection locked="true" hidden="false"/>
    </xf>
    <xf numFmtId="164" fontId="13" fillId="7" borderId="2" xfId="0" applyFont="true" applyBorder="true" applyAlignment="true" applyProtection="false">
      <alignment horizontal="general" vertical="top" textRotation="0" wrapText="true" indent="1" shrinkToFit="false"/>
      <protection locked="true" hidden="false"/>
    </xf>
    <xf numFmtId="164" fontId="12" fillId="0" borderId="2" xfId="0" applyFont="true" applyBorder="true" applyAlignment="true" applyProtection="false">
      <alignment horizontal="general" vertical="top" textRotation="0" wrapText="true" indent="1" shrinkToFit="false"/>
      <protection locked="true" hidden="false"/>
    </xf>
    <xf numFmtId="164" fontId="14" fillId="5" borderId="2" xfId="0" applyFont="true" applyBorder="true" applyAlignment="true" applyProtection="false">
      <alignment horizontal="general" vertical="top" textRotation="0" wrapText="true" indent="1" shrinkToFit="false"/>
      <protection locked="true" hidden="false"/>
    </xf>
    <xf numFmtId="164" fontId="12" fillId="5" borderId="2" xfId="0" applyFont="true" applyBorder="true" applyAlignment="true" applyProtection="false">
      <alignment horizontal="general" vertical="top" textRotation="0" wrapText="true" indent="1"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5" fontId="15" fillId="0" borderId="2" xfId="0" applyFont="true" applyBorder="true" applyAlignment="true" applyProtection="false">
      <alignment horizontal="center" vertical="top" textRotation="0" wrapText="false" indent="0" shrinkToFit="false"/>
      <protection locked="true" hidden="false"/>
    </xf>
    <xf numFmtId="165" fontId="16" fillId="0" borderId="2" xfId="0" applyFont="true" applyBorder="true" applyAlignment="true" applyProtection="false">
      <alignment horizontal="center" vertical="top" textRotation="0" wrapText="false" indent="0" shrinkToFit="false"/>
      <protection locked="true" hidden="false"/>
    </xf>
    <xf numFmtId="164" fontId="17" fillId="0" borderId="2" xfId="0" applyFont="true" applyBorder="true" applyAlignment="true" applyProtection="false">
      <alignment horizontal="center" vertical="top" textRotation="0" wrapText="false" indent="0" shrinkToFit="false"/>
      <protection locked="true" hidden="false"/>
    </xf>
    <xf numFmtId="164" fontId="18" fillId="0" borderId="2" xfId="0" applyFont="true" applyBorder="true" applyAlignment="true" applyProtection="false">
      <alignment horizontal="left" vertical="top" textRotation="0" wrapText="true" indent="0" shrinkToFit="false"/>
      <protection locked="true" hidden="false"/>
    </xf>
    <xf numFmtId="164" fontId="19" fillId="0" borderId="2" xfId="0" applyFont="true" applyBorder="true" applyAlignment="true" applyProtection="false">
      <alignment horizontal="left" vertical="top" textRotation="0" wrapText="false" indent="0" shrinkToFit="false"/>
      <protection locked="true" hidden="false"/>
    </xf>
    <xf numFmtId="164" fontId="19" fillId="0" borderId="2" xfId="0" applyFont="true" applyBorder="true" applyAlignment="true" applyProtection="false">
      <alignment horizontal="center" vertical="top" textRotation="0" wrapText="false" indent="0" shrinkToFit="false"/>
      <protection locked="true" hidden="false"/>
    </xf>
    <xf numFmtId="166" fontId="19" fillId="0" borderId="2" xfId="0" applyFont="true" applyBorder="true" applyAlignment="true" applyProtection="false">
      <alignment horizontal="center" vertical="top" textRotation="0" wrapText="false" indent="0" shrinkToFit="false"/>
      <protection locked="true" hidden="false"/>
    </xf>
    <xf numFmtId="164" fontId="19" fillId="0" borderId="2" xfId="0" applyFont="true" applyBorder="true" applyAlignment="true" applyProtection="false">
      <alignment horizontal="left" vertical="top" textRotation="0" wrapText="true" indent="0" shrinkToFit="false"/>
      <protection locked="true" hidden="false"/>
    </xf>
    <xf numFmtId="167" fontId="19" fillId="0" borderId="2" xfId="0" applyFont="true" applyBorder="true" applyAlignment="true" applyProtection="false">
      <alignment horizontal="center" vertical="top" textRotation="0" wrapText="false" indent="0" shrinkToFit="false"/>
      <protection locked="true" hidden="false"/>
    </xf>
    <xf numFmtId="168" fontId="19" fillId="0" borderId="2" xfId="0" applyFont="true" applyBorder="true" applyAlignment="true" applyProtection="false">
      <alignment horizontal="center" vertical="top" textRotation="0" wrapText="false" indent="0" shrinkToFit="false"/>
      <protection locked="true" hidden="false"/>
    </xf>
    <xf numFmtId="167" fontId="20" fillId="8" borderId="2" xfId="0" applyFont="true" applyBorder="true" applyAlignment="true" applyProtection="false">
      <alignment horizontal="center" vertical="top" textRotation="0" wrapText="false" indent="0" shrinkToFit="false"/>
      <protection locked="true" hidden="false"/>
    </xf>
    <xf numFmtId="164" fontId="20" fillId="8" borderId="2" xfId="0" applyFont="true" applyBorder="true" applyAlignment="true" applyProtection="false">
      <alignment horizontal="center" vertical="top"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6" fontId="19" fillId="0" borderId="2" xfId="0" applyFont="true" applyBorder="true" applyAlignment="true" applyProtection="false">
      <alignment horizontal="general" vertical="top" textRotation="0" wrapText="true" indent="0" shrinkToFit="false"/>
      <protection locked="true" hidden="false"/>
    </xf>
    <xf numFmtId="167" fontId="19" fillId="0" borderId="2" xfId="0" applyFont="true" applyBorder="true" applyAlignment="true" applyProtection="false">
      <alignment horizontal="general" vertical="top" textRotation="0" wrapText="true" indent="0" shrinkToFit="false"/>
      <protection locked="true" hidden="false"/>
    </xf>
    <xf numFmtId="168" fontId="19" fillId="0"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19" fillId="0" borderId="3"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8" fontId="23" fillId="0" borderId="2"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9" fontId="23" fillId="5" borderId="2" xfId="0" applyFont="true" applyBorder="true" applyAlignment="true" applyProtection="false">
      <alignment horizontal="center" vertical="bottom" textRotation="0" wrapText="false" indent="0" shrinkToFit="false"/>
      <protection locked="true" hidden="false"/>
    </xf>
    <xf numFmtId="168" fontId="23" fillId="5" borderId="2" xfId="0" applyFont="true" applyBorder="true" applyAlignment="true" applyProtection="false">
      <alignment horizontal="center" vertical="bottom" textRotation="0" wrapText="false" indent="0" shrinkToFit="false"/>
      <protection locked="true" hidden="false"/>
    </xf>
    <xf numFmtId="166" fontId="23" fillId="8" borderId="2" xfId="0" applyFont="true" applyBorder="true" applyAlignment="true" applyProtection="false">
      <alignment horizontal="center" vertical="bottom" textRotation="0" wrapText="fals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7" fontId="23" fillId="8" borderId="2" xfId="0" applyFont="true" applyBorder="true" applyAlignment="true" applyProtection="false">
      <alignment horizontal="center" vertical="bottom" textRotation="0" wrapText="false" indent="0" shrinkToFit="false"/>
      <protection locked="true" hidden="false"/>
    </xf>
    <xf numFmtId="168" fontId="0" fillId="0" borderId="2" xfId="0" applyFont="false" applyBorder="true" applyAlignment="true" applyProtection="false">
      <alignment horizontal="center" vertical="bottom" textRotation="0" wrapText="false" indent="0" shrinkToFit="false"/>
      <protection locked="true" hidden="false"/>
    </xf>
    <xf numFmtId="167" fontId="0" fillId="0" borderId="2" xfId="0" applyFont="false" applyBorder="true" applyAlignment="true" applyProtection="false">
      <alignment horizontal="center" vertical="bottom" textRotation="0" wrapText="false" indent="0" shrinkToFit="false"/>
      <protection locked="true" hidden="false"/>
    </xf>
    <xf numFmtId="164" fontId="24" fillId="0" borderId="2"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7" fillId="8" borderId="2" xfId="0" applyFont="true" applyBorder="true" applyAlignment="true" applyProtection="false">
      <alignment horizontal="center" vertical="top" textRotation="0" wrapText="false" indent="0" shrinkToFit="false"/>
      <protection locked="true" hidden="false"/>
    </xf>
    <xf numFmtId="164" fontId="19" fillId="8" borderId="2" xfId="0" applyFont="true" applyBorder="true" applyAlignment="true" applyProtection="false">
      <alignment horizontal="left" vertical="top" textRotation="0" wrapText="true" indent="0" shrinkToFit="false"/>
      <protection locked="true" hidden="false"/>
    </xf>
    <xf numFmtId="164" fontId="19" fillId="8" borderId="2" xfId="0" applyFont="true" applyBorder="true" applyAlignment="true" applyProtection="false">
      <alignment horizontal="left" vertical="top" textRotation="0" wrapText="false" indent="0" shrinkToFit="false"/>
      <protection locked="true" hidden="false"/>
    </xf>
    <xf numFmtId="166" fontId="19" fillId="8" borderId="2" xfId="0" applyFont="true" applyBorder="true" applyAlignment="true" applyProtection="false">
      <alignment horizontal="center" vertical="top" textRotation="0" wrapText="false" indent="0" shrinkToFit="false"/>
      <protection locked="true" hidden="false"/>
    </xf>
    <xf numFmtId="164" fontId="19" fillId="8" borderId="2" xfId="0" applyFont="true" applyBorder="true" applyAlignment="true" applyProtection="false">
      <alignment horizontal="center" vertical="top" textRotation="0" wrapText="false" indent="0" shrinkToFit="false"/>
      <protection locked="true" hidden="false"/>
    </xf>
    <xf numFmtId="167" fontId="19" fillId="8" borderId="2" xfId="0" applyFont="true" applyBorder="true" applyAlignment="true" applyProtection="false">
      <alignment horizontal="center" vertical="top" textRotation="0" wrapText="false" indent="0" shrinkToFit="false"/>
      <protection locked="true" hidden="false"/>
    </xf>
    <xf numFmtId="168" fontId="19" fillId="8" borderId="2" xfId="0" applyFont="true" applyBorder="true" applyAlignment="true" applyProtection="false">
      <alignment horizontal="center" vertical="top"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left" vertical="top" textRotation="0" wrapText="true" indent="0" shrinkToFit="false"/>
      <protection locked="true" hidden="false"/>
    </xf>
    <xf numFmtId="170" fontId="19" fillId="0" borderId="2" xfId="0" applyFont="true" applyBorder="true" applyAlignment="true" applyProtection="false">
      <alignment horizontal="center" vertical="top" textRotation="0" wrapText="false" indent="0" shrinkToFit="false"/>
      <protection locked="true" hidden="false"/>
    </xf>
    <xf numFmtId="164" fontId="25" fillId="8" borderId="2" xfId="0" applyFont="true" applyBorder="true" applyAlignment="true" applyProtection="false">
      <alignment horizontal="left" vertical="top" textRotation="0" wrapText="false" indent="0" shrinkToFit="false"/>
      <protection locked="true" hidden="false"/>
    </xf>
    <xf numFmtId="164" fontId="25" fillId="8" borderId="2" xfId="0" applyFont="true" applyBorder="true" applyAlignment="true" applyProtection="false">
      <alignment horizontal="left" vertical="top" textRotation="0" wrapText="tru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left" vertical="top" textRotation="0" wrapText="true" indent="0" shrinkToFit="false"/>
      <protection locked="true" hidden="false"/>
    </xf>
    <xf numFmtId="164" fontId="26" fillId="0" borderId="2" xfId="0" applyFont="true" applyBorder="true" applyAlignment="true" applyProtection="false">
      <alignment horizontal="left" vertical="top" textRotation="0" wrapText="true" indent="0" shrinkToFit="false"/>
      <protection locked="true" hidden="false"/>
    </xf>
    <xf numFmtId="164" fontId="27" fillId="0" borderId="2" xfId="0" applyFont="true" applyBorder="true" applyAlignment="true" applyProtection="false">
      <alignment horizontal="left" vertical="top" textRotation="0" wrapText="true" indent="0" shrinkToFit="false"/>
      <protection locked="true" hidden="false"/>
    </xf>
    <xf numFmtId="164" fontId="28" fillId="0" borderId="2" xfId="0" applyFont="true" applyBorder="true" applyAlignment="true" applyProtection="false">
      <alignment horizontal="center" vertical="top" textRotation="0" wrapText="false" indent="0" shrinkToFit="false"/>
      <protection locked="true" hidden="false"/>
    </xf>
    <xf numFmtId="164" fontId="28" fillId="0" borderId="2" xfId="0" applyFont="true" applyBorder="true" applyAlignment="true" applyProtection="false">
      <alignment horizontal="left" vertical="top" textRotation="0" wrapText="true" indent="0" shrinkToFit="false"/>
      <protection locked="true" hidden="false"/>
    </xf>
    <xf numFmtId="164" fontId="25" fillId="0" borderId="2" xfId="0" applyFont="true" applyBorder="true" applyAlignment="true" applyProtection="false">
      <alignment horizontal="center" vertical="top" textRotation="0" wrapText="false" indent="0" shrinkToFit="false"/>
      <protection locked="true" hidden="false"/>
    </xf>
    <xf numFmtId="164" fontId="25" fillId="0" borderId="2" xfId="0" applyFont="true" applyBorder="true" applyAlignment="true" applyProtection="false">
      <alignment horizontal="left" vertical="top" textRotation="0" wrapText="true" indent="0" shrinkToFit="false"/>
      <protection locked="true" hidden="false"/>
    </xf>
    <xf numFmtId="164" fontId="17" fillId="8"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6" fillId="11"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6" fillId="10" borderId="0" xfId="0" applyFont="true" applyBorder="true" applyAlignment="true" applyProtection="false">
      <alignment horizontal="general" vertical="center" textRotation="0" wrapText="false" indent="1" shrinkToFit="false"/>
      <protection locked="true" hidden="false"/>
    </xf>
    <xf numFmtId="164" fontId="29"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30" fillId="0" borderId="2" xfId="0" applyFont="true" applyBorder="true" applyAlignment="true" applyProtection="false">
      <alignment horizontal="left" vertical="top" textRotation="0" wrapText="true" indent="0" shrinkToFit="false"/>
      <protection locked="true" hidden="false"/>
    </xf>
    <xf numFmtId="164" fontId="31" fillId="0" borderId="2" xfId="0" applyFont="true" applyBorder="true" applyAlignment="true" applyProtection="false">
      <alignment horizontal="left" vertical="top" textRotation="0" wrapText="true" indent="0" shrinkToFit="false"/>
      <protection locked="true" hidden="false"/>
    </xf>
    <xf numFmtId="164" fontId="32" fillId="0" borderId="2" xfId="0" applyFont="true" applyBorder="true" applyAlignment="true" applyProtection="false">
      <alignment horizontal="left" vertical="top" textRotation="0" wrapText="true" indent="0" shrinkToFit="false"/>
      <protection locked="true" hidden="false"/>
    </xf>
    <xf numFmtId="167" fontId="33" fillId="0" borderId="2" xfId="0" applyFont="true" applyBorder="true" applyAlignment="true" applyProtection="false">
      <alignment horizontal="center" vertical="top" textRotation="0" wrapText="true" indent="0" shrinkToFit="false"/>
      <protection locked="true" hidden="false"/>
    </xf>
    <xf numFmtId="164" fontId="34" fillId="0" borderId="2" xfId="0" applyFont="true" applyBorder="true" applyAlignment="true" applyProtection="false">
      <alignment horizontal="left" vertical="top" textRotation="0" wrapText="true" indent="0" shrinkToFit="false"/>
      <protection locked="true" hidden="false"/>
    </xf>
    <xf numFmtId="164" fontId="35"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36" fillId="0" borderId="2" xfId="0" applyFont="true" applyBorder="true" applyAlignment="true" applyProtection="false">
      <alignment horizontal="center" vertical="top"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1" shrinkToFit="false"/>
      <protection locked="true" hidden="false"/>
    </xf>
    <xf numFmtId="164" fontId="6" fillId="2" borderId="0" xfId="0" applyFont="true" applyBorder="false" applyAlignment="true" applyProtection="false">
      <alignment horizontal="general" vertical="center" textRotation="0" wrapText="false" indent="1" shrinkToFit="false"/>
      <protection locked="true" hidden="false"/>
    </xf>
    <xf numFmtId="164" fontId="8" fillId="0" borderId="0" xfId="0" applyFont="true" applyBorder="false" applyAlignment="true" applyProtection="false">
      <alignment horizontal="general" vertical="center" textRotation="0" wrapText="false" indent="1" shrinkToFit="false"/>
      <protection locked="true" hidden="false"/>
    </xf>
    <xf numFmtId="164" fontId="32" fillId="0" borderId="0" xfId="0" applyFont="true" applyBorder="false" applyAlignment="true" applyProtection="false">
      <alignment horizontal="general" vertical="center" textRotation="0" wrapText="false" indent="1" shrinkToFit="false"/>
      <protection locked="true" hidden="false"/>
    </xf>
    <xf numFmtId="164" fontId="12" fillId="0" borderId="0" xfId="0" applyFont="true" applyBorder="false" applyAlignment="true" applyProtection="false">
      <alignment horizontal="general" vertical="center" textRotation="0" wrapText="false" indent="1" shrinkToFit="false"/>
      <protection locked="true" hidden="false"/>
    </xf>
    <xf numFmtId="164" fontId="37" fillId="4" borderId="0" xfId="0" applyFont="true" applyBorder="false" applyAlignment="true" applyProtection="false">
      <alignment horizontal="general" vertical="center" textRotation="0" wrapText="false" indent="1" shrinkToFit="false"/>
      <protection locked="true" hidden="false"/>
    </xf>
    <xf numFmtId="164" fontId="38" fillId="0" borderId="0" xfId="0" applyFont="true" applyBorder="false" applyAlignment="true" applyProtection="false">
      <alignment horizontal="general" vertical="center" textRotation="0" wrapText="false" indent="1" shrinkToFit="false"/>
      <protection locked="true" hidden="false"/>
    </xf>
    <xf numFmtId="164" fontId="37" fillId="3" borderId="0" xfId="0" applyFont="true" applyBorder="false" applyAlignment="true" applyProtection="false">
      <alignment horizontal="general" vertical="center" textRotation="0" wrapText="false" indent="1" shrinkToFit="false"/>
      <protection locked="true" hidden="false"/>
    </xf>
    <xf numFmtId="164" fontId="39" fillId="0" borderId="0" xfId="0" applyFont="true" applyBorder="false" applyAlignment="true" applyProtection="false">
      <alignment horizontal="right"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false" indent="1" shrinkToFit="false"/>
      <protection locked="true" hidden="false"/>
    </xf>
    <xf numFmtId="164" fontId="37" fillId="10" borderId="0" xfId="0" applyFont="true" applyBorder="true" applyAlignment="fals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left" vertical="bottom" textRotation="0" wrapText="false" indent="0" shrinkToFit="false"/>
      <protection locked="true" hidden="false"/>
    </xf>
    <xf numFmtId="168" fontId="19" fillId="0" borderId="2" xfId="0" applyFont="true" applyBorder="true" applyAlignment="true" applyProtection="false">
      <alignment horizontal="center" vertical="bottom" textRotation="0" wrapText="false" indent="0" shrinkToFit="false"/>
      <protection locked="true" hidden="false"/>
    </xf>
    <xf numFmtId="166" fontId="19" fillId="0" borderId="2" xfId="0" applyFont="true" applyBorder="true" applyAlignment="true" applyProtection="false">
      <alignment horizontal="center" vertical="bottom" textRotation="0" wrapText="false" indent="0" shrinkToFit="false"/>
      <protection locked="true" hidden="false"/>
    </xf>
    <xf numFmtId="167" fontId="19" fillId="0" borderId="2"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left" vertical="bottom" textRotation="0" wrapText="true" indent="0" shrinkToFit="false"/>
      <protection locked="true" hidden="false"/>
    </xf>
    <xf numFmtId="165" fontId="19" fillId="0"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10223B"/>
          <bgColor rgb="FF000000"/>
        </patternFill>
      </fill>
    </dxf>
    <dxf>
      <fill>
        <patternFill patternType="solid">
          <bgColor rgb="FF000000"/>
        </patternFill>
      </fill>
    </dxf>
    <dxf>
      <fill>
        <patternFill patternType="solid">
          <fgColor rgb="FFFC5305"/>
          <bgColor rgb="FF000000"/>
        </patternFill>
      </fill>
    </dxf>
    <dxf>
      <fill>
        <patternFill patternType="solid">
          <fgColor rgb="FFFFFFFF"/>
          <bgColor rgb="FF000000"/>
        </patternFill>
      </fill>
    </dxf>
    <dxf>
      <fill>
        <patternFill patternType="solid">
          <fgColor rgb="FFCDEBD9"/>
          <bgColor rgb="FF000000"/>
        </patternFill>
      </fill>
    </dxf>
    <dxf>
      <fill>
        <patternFill patternType="solid">
          <fgColor rgb="FFD5EADC"/>
          <bgColor rgb="FF000000"/>
        </patternFill>
      </fill>
    </dxf>
    <dxf>
      <fill>
        <patternFill patternType="solid">
          <fgColor rgb="FFD9EADD"/>
          <bgColor rgb="FF000000"/>
        </patternFill>
      </fill>
    </dxf>
    <dxf>
      <fill>
        <patternFill patternType="solid">
          <fgColor rgb="FFE4E9E0"/>
          <bgColor rgb="FF000000"/>
        </patternFill>
      </fill>
    </dxf>
    <dxf>
      <fill>
        <patternFill patternType="solid">
          <fgColor rgb="FFF4E7E4"/>
          <bgColor rgb="FF000000"/>
        </patternFill>
      </fill>
    </dxf>
    <dxf>
      <fill>
        <patternFill patternType="solid">
          <fgColor rgb="FFF8E7E5"/>
          <bgColor rgb="FF000000"/>
        </patternFill>
      </fill>
    </dxf>
    <dxf>
      <fill>
        <patternFill patternType="solid">
          <fgColor rgb="FFFBE7E6"/>
          <bgColor rgb="FF000000"/>
        </patternFill>
      </fill>
    </dxf>
    <dxf>
      <fill>
        <patternFill patternType="solid">
          <fgColor rgb="FF1A1A1A"/>
          <bgColor rgb="FF000000"/>
        </patternFill>
      </fill>
    </dxf>
    <dxf>
      <fill>
        <patternFill patternType="solid">
          <fgColor rgb="FFF4F6F9"/>
          <bgColor rgb="FF000000"/>
        </patternFill>
      </fill>
    </dxf>
    <dxf>
      <fill>
        <patternFill patternType="solid">
          <fgColor rgb="FF0000FF"/>
          <bgColor rgb="FF000000"/>
        </patternFill>
      </fill>
    </dxf>
    <dxf>
      <fill>
        <patternFill patternType="solid">
          <fgColor rgb="FFE3F5EA"/>
          <bgColor rgb="FF000000"/>
        </patternFill>
      </fill>
    </dxf>
    <dxf>
      <fill>
        <patternFill patternType="solid">
          <fgColor rgb="FF1B7F4B"/>
          <bgColor rgb="FF000000"/>
        </patternFill>
      </fill>
    </dxf>
    <dxf>
      <fill>
        <patternFill patternType="solid">
          <fgColor rgb="FFB3261E"/>
          <bgColor rgb="FF000000"/>
        </patternFill>
      </fill>
    </dxf>
    <dxf>
      <font>
        <name val="Arial"/>
        <charset val="1"/>
        <family val="0"/>
        <b val="1"/>
        <color rgb="FFB3261E"/>
        <sz val="9"/>
      </font>
      <fill>
        <patternFill>
          <bgColor rgb="FFFBE7E6"/>
        </patternFill>
      </fill>
    </dxf>
    <dxf>
      <font>
        <name val="Arial"/>
        <charset val="1"/>
        <family val="0"/>
        <b val="1"/>
        <color rgb="FF1B7F4B"/>
        <sz val="9"/>
      </font>
      <fill>
        <patternFill>
          <bgColor rgb="FFE3F5EA"/>
        </patternFill>
      </fill>
    </dxf>
    <dxf>
      <font>
        <name val="Arial"/>
        <charset val="1"/>
        <family val="0"/>
        <b val="1"/>
        <color rgb="FFB3261E"/>
        <sz val="9"/>
      </font>
    </dxf>
    <dxf>
      <font>
        <name val="Arial"/>
        <charset val="1"/>
        <family val="0"/>
        <b val="1"/>
        <color rgb="FF1B7F4B"/>
        <sz val="10"/>
      </font>
      <fill>
        <patternFill>
          <bgColor rgb="FFE3F5EA"/>
        </patternFill>
      </fill>
    </dxf>
    <dxf>
      <font>
        <name val="Arial"/>
        <charset val="1"/>
        <family val="0"/>
        <b val="1"/>
        <color rgb="FFB3261E"/>
        <sz val="10"/>
      </font>
      <fill>
        <patternFill>
          <bgColor rgb="FFFBE7E6"/>
        </patternFill>
      </fill>
    </dxf>
    <dxf>
      <font>
        <name val="Arial"/>
        <charset val="1"/>
        <family val="0"/>
        <b val="1"/>
        <color rgb="FF1B7F4B"/>
        <sz val="9"/>
      </font>
    </dxf>
    <dxf>
      <fill>
        <patternFill patternType="solid">
          <fgColor rgb="FF8A94A6"/>
          <bgColor rgb="FF000000"/>
        </patternFill>
      </fill>
    </dxf>
    <dxf>
      <fill>
        <patternFill patternType="solid">
          <fgColor rgb="FF6B7280"/>
          <bgColor rgb="FF000000"/>
        </patternFill>
      </fill>
    </dxf>
    <dxf>
      <fill>
        <patternFill patternType="solid">
          <fgColor rgb="FFB26A00"/>
          <bgColor rgb="FF000000"/>
        </patternFill>
      </fill>
    </dxf>
    <dxf>
      <font>
        <name val="Arial"/>
        <charset val="1"/>
        <family val="0"/>
        <b val="1"/>
        <color rgb="FFFFFFFF"/>
        <sz val="9"/>
      </font>
      <fill>
        <patternFill>
          <bgColor rgb="FF1B7F4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26A00"/>
      <rgbColor rgb="FF800080"/>
      <rgbColor rgb="FF1B7F4B"/>
      <rgbColor rgb="FFD9D9D9"/>
      <rgbColor rgb="FF878787"/>
      <rgbColor rgb="FF9999FF"/>
      <rgbColor rgb="FF993366"/>
      <rgbColor rgb="FFFFF3CC"/>
      <rgbColor rgb="FFE3F5EA"/>
      <rgbColor rgb="FF660066"/>
      <rgbColor rgb="FFFF8080"/>
      <rgbColor rgb="FF0883F7"/>
      <rgbColor rgb="FFD5DBE3"/>
      <rgbColor rgb="FF000080"/>
      <rgbColor rgb="FFFF00FF"/>
      <rgbColor rgb="FFFFFF00"/>
      <rgbColor rgb="FF00FFFF"/>
      <rgbColor rgb="FF800080"/>
      <rgbColor rgb="FF800000"/>
      <rgbColor rgb="FF008080"/>
      <rgbColor rgb="FF0000FF"/>
      <rgbColor rgb="FF00CCFF"/>
      <rgbColor rgb="FFEAF2FD"/>
      <rgbColor rgb="FFF4F6F9"/>
      <rgbColor rgb="FFFBE7E6"/>
      <rgbColor rgb="FF99CCFF"/>
      <rgbColor rgb="FFFF99CC"/>
      <rgbColor rgb="FFCC99FF"/>
      <rgbColor rgb="FFF9F9F9"/>
      <rgbColor rgb="FF3366FF"/>
      <rgbColor rgb="FF33CCCC"/>
      <rgbColor rgb="FF99CC00"/>
      <rgbColor rgb="FFFFCC00"/>
      <rgbColor rgb="FFFF9900"/>
      <rgbColor rgb="FFFC5305"/>
      <rgbColor rgb="FF6B7280"/>
      <rgbColor rgb="FF8A94A6"/>
      <rgbColor rgb="FF10223B"/>
      <rgbColor rgb="FF339966"/>
      <rgbColor rgb="FF003300"/>
      <rgbColor rgb="FF333300"/>
      <rgbColor rgb="FFB3261E"/>
      <rgbColor rgb="FF993366"/>
      <rgbColor rgb="FF5A6472"/>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All-in $/mile at your target ask  vs  the $2.00 floor</a:t>
            </a:r>
          </a:p>
        </c:rich>
      </c:tx>
      <c:overlay val="0"/>
      <c:spPr>
        <a:noFill/>
        <a:ln w="0">
          <a:noFill/>
        </a:ln>
      </c:spPr>
    </c:title>
    <c:autoTitleDeleted val="0"/>
    <c:plotArea>
      <c:barChart>
        <c:barDir val="col"/>
        <c:grouping val="clustered"/>
        <c:varyColors val="0"/>
        <c:ser>
          <c:idx val="0"/>
          <c:order val="0"/>
          <c:tx>
            <c:strRef>
              <c:f>ANALYSIS!C5</c:f>
              <c:strCache>
                <c:ptCount val="1"/>
                <c:pt idx="0">
                  <c:v>All-in $/mi at target</c:v>
                </c:pt>
              </c:strCache>
            </c:strRef>
          </c:tx>
          <c:spPr>
            <a:solidFill>
              <a:srgbClr val="0883f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ANALYSIS!$C$6:$C$12</c:f>
              <c:numCache>
                <c:formatCode>\$0.00</c:formatCode>
                <c:ptCount val="7"/>
                <c:pt idx="0">
                  <c:v>2.53411306042885</c:v>
                </c:pt>
                <c:pt idx="1">
                  <c:v>2.14190093708166</c:v>
                </c:pt>
                <c:pt idx="2">
                  <c:v>2.48565965583174</c:v>
                </c:pt>
                <c:pt idx="3">
                  <c:v>2.23752151462995</c:v>
                </c:pt>
                <c:pt idx="4">
                  <c:v>2.62345679012346</c:v>
                </c:pt>
                <c:pt idx="5">
                  <c:v>2.1953896816685</c:v>
                </c:pt>
                <c:pt idx="6">
                  <c:v>2.25933202357564</c:v>
                </c:pt>
              </c:numCache>
            </c:numRef>
          </c:val>
        </c:ser>
        <c:ser>
          <c:idx val="1"/>
          <c:order val="1"/>
          <c:tx>
            <c:strRef>
              <c:f>ANALYSIS!D5</c:f>
              <c:strCache>
                <c:ptCount val="1"/>
                <c:pt idx="0">
                  <c:v>Floor $/mi</c:v>
                </c:pt>
              </c:strCache>
            </c:strRef>
          </c:tx>
          <c:spPr>
            <a:solidFill>
              <a:srgbClr val="fc530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ANALYSIS!$D$6:$D$12</c:f>
              <c:numCache>
                <c:formatCode>\$0.00</c:formatCode>
                <c:ptCount val="7"/>
                <c:pt idx="0">
                  <c:v>2</c:v>
                </c:pt>
                <c:pt idx="1">
                  <c:v>2</c:v>
                </c:pt>
                <c:pt idx="2">
                  <c:v>2</c:v>
                </c:pt>
                <c:pt idx="3">
                  <c:v>2</c:v>
                </c:pt>
                <c:pt idx="4">
                  <c:v>2</c:v>
                </c:pt>
                <c:pt idx="5">
                  <c:v>2</c:v>
                </c:pt>
                <c:pt idx="6">
                  <c:v>2</c:v>
                </c:pt>
              </c:numCache>
            </c:numRef>
          </c:val>
        </c:ser>
        <c:gapWidth val="150"/>
        <c:overlap val="0"/>
        <c:axId val="56238619"/>
        <c:axId val="5690006"/>
      </c:barChart>
      <c:catAx>
        <c:axId val="562386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0006"/>
        <c:crosses val="autoZero"/>
        <c:auto val="1"/>
        <c:lblAlgn val="ctr"/>
        <c:lblOffset val="100"/>
        <c:noMultiLvlLbl val="0"/>
      </c:catAx>
      <c:valAx>
        <c:axId val="56900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mile (deadhead + loaded)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3861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Empty miles vs paid miles  -  the deadhead burden</a:t>
            </a:r>
          </a:p>
        </c:rich>
      </c:tx>
      <c:overlay val="0"/>
      <c:spPr>
        <a:noFill/>
        <a:ln w="0">
          <a:noFill/>
        </a:ln>
      </c:spPr>
    </c:title>
    <c:autoTitleDeleted val="0"/>
    <c:plotArea>
      <c:barChart>
        <c:barDir val="bar"/>
        <c:grouping val="stacked"/>
        <c:varyColors val="0"/>
        <c:ser>
          <c:idx val="0"/>
          <c:order val="0"/>
          <c:tx>
            <c:strRef>
              <c:f>ANALYSIS!E5</c:f>
              <c:strCache>
                <c:ptCount val="1"/>
                <c:pt idx="0">
                  <c:v>Deadhead mi</c:v>
                </c:pt>
              </c:strCache>
            </c:strRef>
          </c:tx>
          <c:spPr>
            <a:solidFill>
              <a:srgbClr val="fc530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ANALYSIS!$E$6:$E$12</c:f>
              <c:numCache>
                <c:formatCode>#,##0</c:formatCode>
                <c:ptCount val="7"/>
                <c:pt idx="0">
                  <c:v>146</c:v>
                </c:pt>
                <c:pt idx="1">
                  <c:v>92</c:v>
                </c:pt>
                <c:pt idx="2">
                  <c:v>106</c:v>
                </c:pt>
                <c:pt idx="3">
                  <c:v>82</c:v>
                </c:pt>
                <c:pt idx="4">
                  <c:v>109</c:v>
                </c:pt>
                <c:pt idx="5">
                  <c:v>153</c:v>
                </c:pt>
                <c:pt idx="6">
                  <c:v>92</c:v>
                </c:pt>
              </c:numCache>
            </c:numRef>
          </c:val>
        </c:ser>
        <c:ser>
          <c:idx val="1"/>
          <c:order val="1"/>
          <c:tx>
            <c:strRef>
              <c:f>ANALYSIS!F5</c:f>
              <c:strCache>
                <c:ptCount val="1"/>
                <c:pt idx="0">
                  <c:v>Loaded mi</c:v>
                </c:pt>
              </c:strCache>
            </c:strRef>
          </c:tx>
          <c:spPr>
            <a:solidFill>
              <a:srgbClr val="10223b"/>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ANALYSIS!$F$6:$F$12</c:f>
              <c:numCache>
                <c:formatCode>#,##0</c:formatCode>
                <c:ptCount val="7"/>
                <c:pt idx="0">
                  <c:v>367</c:v>
                </c:pt>
                <c:pt idx="1">
                  <c:v>655</c:v>
                </c:pt>
                <c:pt idx="2">
                  <c:v>417</c:v>
                </c:pt>
                <c:pt idx="3">
                  <c:v>499</c:v>
                </c:pt>
                <c:pt idx="4">
                  <c:v>215</c:v>
                </c:pt>
                <c:pt idx="5">
                  <c:v>758</c:v>
                </c:pt>
                <c:pt idx="6">
                  <c:v>417</c:v>
                </c:pt>
              </c:numCache>
            </c:numRef>
          </c:val>
        </c:ser>
        <c:gapWidth val="150"/>
        <c:overlap val="100"/>
        <c:axId val="13645802"/>
        <c:axId val="86225469"/>
      </c:barChart>
      <c:catAx>
        <c:axId val="13645802"/>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225469"/>
        <c:crosses val="autoZero"/>
        <c:auto val="1"/>
        <c:lblAlgn val="ctr"/>
        <c:lblOffset val="100"/>
        <c:noMultiLvlLbl val="0"/>
      </c:catAx>
      <c:valAx>
        <c:axId val="86225469"/>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6458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at target ask  vs  net after estimated fuel</a:t>
            </a:r>
          </a:p>
        </c:rich>
      </c:tx>
      <c:overlay val="0"/>
      <c:spPr>
        <a:noFill/>
        <a:ln w="0">
          <a:noFill/>
        </a:ln>
      </c:spPr>
    </c:title>
    <c:autoTitleDeleted val="0"/>
    <c:plotArea>
      <c:barChart>
        <c:barDir val="col"/>
        <c:grouping val="clustered"/>
        <c:varyColors val="0"/>
        <c:ser>
          <c:idx val="0"/>
          <c:order val="0"/>
          <c:tx>
            <c:strRef>
              <c:f>ANALYSIS!G5</c:f>
              <c:strCache>
                <c:ptCount val="1"/>
                <c:pt idx="0">
                  <c:v>Target ask $</c:v>
                </c:pt>
              </c:strCache>
            </c:strRef>
          </c:tx>
          <c:spPr>
            <a:solidFill>
              <a:srgbClr val="10223b"/>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ANALYSIS!$G$6:$G$12</c:f>
              <c:numCache>
                <c:formatCode>\$#,##0</c:formatCode>
                <c:ptCount val="7"/>
                <c:pt idx="0">
                  <c:v>1300</c:v>
                </c:pt>
                <c:pt idx="1">
                  <c:v>1600</c:v>
                </c:pt>
                <c:pt idx="2">
                  <c:v>1300</c:v>
                </c:pt>
                <c:pt idx="3">
                  <c:v>1300</c:v>
                </c:pt>
                <c:pt idx="4">
                  <c:v>850</c:v>
                </c:pt>
                <c:pt idx="5">
                  <c:v>2000</c:v>
                </c:pt>
                <c:pt idx="6">
                  <c:v>1150</c:v>
                </c:pt>
              </c:numCache>
            </c:numRef>
          </c:val>
        </c:ser>
        <c:ser>
          <c:idx val="1"/>
          <c:order val="1"/>
          <c:tx>
            <c:strRef>
              <c:f>ANALYSIS!H5</c:f>
              <c:strCache>
                <c:ptCount val="1"/>
                <c:pt idx="0">
                  <c:v>Net after fuel $</c:v>
                </c:pt>
              </c:strCache>
            </c:strRef>
          </c:tx>
          <c:spPr>
            <a:solidFill>
              <a:srgbClr val="1b7f4b"/>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ANALYSIS!$B$6:$B$12</c:f>
              <c:strCache>
                <c:ptCount val="7"/>
                <c:pt idx="0">
                  <c:v>L10  Lexington, OH &gt; Channahon, IL</c:v>
                </c:pt>
                <c:pt idx="1">
                  <c:v>L3  Shelbyville, IN &gt; Stanhope, NJ</c:v>
                </c:pt>
                <c:pt idx="2">
                  <c:v>L6  Huntington, WV &gt; Sparrows Point, MD</c:v>
                </c:pt>
                <c:pt idx="3">
                  <c:v>L1  Piqua, OH &gt; Pineville, NC</c:v>
                </c:pt>
                <c:pt idx="4">
                  <c:v>L7  Muncie, IN &gt; Decatur, IL</c:v>
                </c:pt>
                <c:pt idx="5">
                  <c:v>L9  Fort Wayne, IN &gt; Cedar Point, KS</c:v>
                </c:pt>
                <c:pt idx="6">
                  <c:v>L4  Shelbyville, IN &gt; Selmer, TN</c:v>
                </c:pt>
              </c:strCache>
            </c:strRef>
          </c:cat>
          <c:val>
            <c:numRef>
              <c:f>ANALYSIS!$H$6:$H$12</c:f>
              <c:numCache>
                <c:formatCode>\$#,##0</c:formatCode>
                <c:ptCount val="7"/>
                <c:pt idx="0">
                  <c:v>1110.19</c:v>
                </c:pt>
                <c:pt idx="1">
                  <c:v>1323.61</c:v>
                </c:pt>
                <c:pt idx="2">
                  <c:v>1106.49</c:v>
                </c:pt>
                <c:pt idx="3">
                  <c:v>1085.03</c:v>
                </c:pt>
                <c:pt idx="4">
                  <c:v>730.12</c:v>
                </c:pt>
                <c:pt idx="5">
                  <c:v>1662.93</c:v>
                </c:pt>
                <c:pt idx="6">
                  <c:v>961.67</c:v>
                </c:pt>
              </c:numCache>
            </c:numRef>
          </c:val>
        </c:ser>
        <c:gapWidth val="150"/>
        <c:overlap val="0"/>
        <c:axId val="93341258"/>
        <c:axId val="84620855"/>
      </c:barChart>
      <c:catAx>
        <c:axId val="933412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620855"/>
        <c:crosses val="autoZero"/>
        <c:auto val="1"/>
        <c:lblAlgn val="ctr"/>
        <c:lblOffset val="100"/>
        <c:noMultiLvlLbl val="0"/>
      </c:catAx>
      <c:valAx>
        <c:axId val="846208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412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Per broker: loads posted, loads that actually fit the truck, and contacts made so far</a:t>
            </a:r>
          </a:p>
        </c:rich>
      </c:tx>
      <c:overlay val="0"/>
      <c:spPr>
        <a:noFill/>
        <a:ln w="0">
          <a:noFill/>
        </a:ln>
      </c:spPr>
    </c:title>
    <c:autoTitleDeleted val="0"/>
    <c:plotArea>
      <c:barChart>
        <c:barDir val="col"/>
        <c:grouping val="clustered"/>
        <c:varyColors val="0"/>
        <c:ser>
          <c:idx val="0"/>
          <c:order val="0"/>
          <c:tx>
            <c:strRef>
              <c:f>ANALYSIS!C79</c:f>
              <c:strCache>
                <c:ptCount val="1"/>
                <c:pt idx="0">
                  <c:v>Loads on the board</c:v>
                </c:pt>
              </c:strCache>
            </c:strRef>
          </c:tx>
          <c:spPr>
            <a:solidFill>
              <a:srgbClr val="0883f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ANALYSIS!$B$80:$B$87</c:f>
              <c:strCache>
                <c:ptCount val="8"/>
                <c:pt idx="0">
                  <c:v>Freightwatch, LLC</c:v>
                </c:pt>
                <c:pt idx="1">
                  <c:v>Fifth Wheel Freight</c:v>
                </c:pt>
                <c:pt idx="2">
                  <c:v>Venture Connect LLC</c:v>
                </c:pt>
                <c:pt idx="3">
                  <c:v>Transportation Express American Motorways Inc.</c:v>
                </c:pt>
                <c:pt idx="4">
                  <c:v>Joe Tex, Inc.</c:v>
                </c:pt>
                <c:pt idx="5">
                  <c:v>Warren Transport, Inc.</c:v>
                </c:pt>
                <c:pt idx="6">
                  <c:v>Whitewater Freight Inc</c:v>
                </c:pt>
                <c:pt idx="7">
                  <c:v>Fenichey LLC</c:v>
                </c:pt>
              </c:strCache>
            </c:strRef>
          </c:cat>
          <c:val>
            <c:numRef>
              <c:f>ANALYSIS!$C$80:$C$87</c:f>
              <c:numCache>
                <c:formatCode>General</c:formatCode>
                <c:ptCount val="8"/>
                <c:pt idx="0">
                  <c:v>0</c:v>
                </c:pt>
                <c:pt idx="1">
                  <c:v>2</c:v>
                </c:pt>
                <c:pt idx="2">
                  <c:v>2</c:v>
                </c:pt>
                <c:pt idx="3">
                  <c:v>1</c:v>
                </c:pt>
                <c:pt idx="4">
                  <c:v>1</c:v>
                </c:pt>
                <c:pt idx="5">
                  <c:v>1</c:v>
                </c:pt>
                <c:pt idx="6">
                  <c:v>1</c:v>
                </c:pt>
                <c:pt idx="7">
                  <c:v>1</c:v>
                </c:pt>
              </c:numCache>
            </c:numRef>
          </c:val>
        </c:ser>
        <c:ser>
          <c:idx val="1"/>
          <c:order val="1"/>
          <c:tx>
            <c:strRef>
              <c:f>ANALYSIS!D79</c:f>
              <c:strCache>
                <c:ptCount val="1"/>
                <c:pt idx="0">
                  <c:v>Of those, loads that fit the truck</c:v>
                </c:pt>
              </c:strCache>
            </c:strRef>
          </c:tx>
          <c:spPr>
            <a:solidFill>
              <a:srgbClr val="1b7f4b"/>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ANALYSIS!$B$80:$B$87</c:f>
              <c:strCache>
                <c:ptCount val="8"/>
                <c:pt idx="0">
                  <c:v>Freightwatch, LLC</c:v>
                </c:pt>
                <c:pt idx="1">
                  <c:v>Fifth Wheel Freight</c:v>
                </c:pt>
                <c:pt idx="2">
                  <c:v>Venture Connect LLC</c:v>
                </c:pt>
                <c:pt idx="3">
                  <c:v>Transportation Express American Motorways Inc.</c:v>
                </c:pt>
                <c:pt idx="4">
                  <c:v>Joe Tex, Inc.</c:v>
                </c:pt>
                <c:pt idx="5">
                  <c:v>Warren Transport, Inc.</c:v>
                </c:pt>
                <c:pt idx="6">
                  <c:v>Whitewater Freight Inc</c:v>
                </c:pt>
                <c:pt idx="7">
                  <c:v>Fenichey LLC</c:v>
                </c:pt>
              </c:strCache>
            </c:strRef>
          </c:cat>
          <c:val>
            <c:numRef>
              <c:f>ANALYSIS!$D$80:$D$87</c:f>
              <c:numCache>
                <c:formatCode>General</c:formatCode>
                <c:ptCount val="8"/>
                <c:pt idx="0">
                  <c:v>1</c:v>
                </c:pt>
                <c:pt idx="1">
                  <c:v>2</c:v>
                </c:pt>
                <c:pt idx="2">
                  <c:v>2</c:v>
                </c:pt>
                <c:pt idx="3">
                  <c:v>1</c:v>
                </c:pt>
                <c:pt idx="4">
                  <c:v>1</c:v>
                </c:pt>
                <c:pt idx="5">
                  <c:v>0</c:v>
                </c:pt>
                <c:pt idx="6">
                  <c:v>1</c:v>
                </c:pt>
                <c:pt idx="7">
                  <c:v>0</c:v>
                </c:pt>
              </c:numCache>
            </c:numRef>
          </c:val>
        </c:ser>
        <c:ser>
          <c:idx val="2"/>
          <c:order val="2"/>
          <c:tx>
            <c:strRef>
              <c:f>ANALYSIS!E79</c:f>
              <c:strCache>
                <c:ptCount val="1"/>
                <c:pt idx="0">
                  <c:v>Times contacted to date</c:v>
                </c:pt>
              </c:strCache>
            </c:strRef>
          </c:tx>
          <c:spPr>
            <a:solidFill>
              <a:srgbClr val="fc530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ANALYSIS!$B$80:$B$87</c:f>
              <c:strCache>
                <c:ptCount val="8"/>
                <c:pt idx="0">
                  <c:v>Freightwatch, LLC</c:v>
                </c:pt>
                <c:pt idx="1">
                  <c:v>Fifth Wheel Freight</c:v>
                </c:pt>
                <c:pt idx="2">
                  <c:v>Venture Connect LLC</c:v>
                </c:pt>
                <c:pt idx="3">
                  <c:v>Transportation Express American Motorways Inc.</c:v>
                </c:pt>
                <c:pt idx="4">
                  <c:v>Joe Tex, Inc.</c:v>
                </c:pt>
                <c:pt idx="5">
                  <c:v>Warren Transport, Inc.</c:v>
                </c:pt>
                <c:pt idx="6">
                  <c:v>Whitewater Freight Inc</c:v>
                </c:pt>
                <c:pt idx="7">
                  <c:v>Fenichey LLC</c:v>
                </c:pt>
              </c:strCache>
            </c:strRef>
          </c:cat>
          <c:val>
            <c:numRef>
              <c:f>ANALYSIS!$E$80:$E$87</c:f>
              <c:numCache>
                <c:formatCode>General</c:formatCode>
                <c:ptCount val="8"/>
                <c:pt idx="0">
                  <c:v>0</c:v>
                </c:pt>
                <c:pt idx="1">
                  <c:v>2</c:v>
                </c:pt>
                <c:pt idx="2">
                  <c:v>0</c:v>
                </c:pt>
                <c:pt idx="3">
                  <c:v>2</c:v>
                </c:pt>
                <c:pt idx="4">
                  <c:v>2</c:v>
                </c:pt>
                <c:pt idx="5">
                  <c:v>0</c:v>
                </c:pt>
                <c:pt idx="6">
                  <c:v>0</c:v>
                </c:pt>
                <c:pt idx="7">
                  <c:v>0</c:v>
                </c:pt>
              </c:numCache>
            </c:numRef>
          </c:val>
        </c:ser>
        <c:gapWidth val="150"/>
        <c:overlap val="0"/>
        <c:axId val="89606805"/>
        <c:axId val="42256779"/>
      </c:barChart>
      <c:catAx>
        <c:axId val="896068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256779"/>
        <c:crosses val="autoZero"/>
        <c:auto val="1"/>
        <c:lblAlgn val="ctr"/>
        <c:lblOffset val="100"/>
        <c:noMultiLvlLbl val="0"/>
      </c:catAx>
      <c:valAx>
        <c:axId val="422567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068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9</xdr:col>
      <xdr:colOff>110880</xdr:colOff>
      <xdr:row>31</xdr:row>
      <xdr:rowOff>181440</xdr:rowOff>
    </xdr:to>
    <xdr:graphicFrame>
      <xdr:nvGraphicFramePr>
        <xdr:cNvPr id="0" name="Chart 1"/>
        <xdr:cNvGraphicFramePr/>
      </xdr:nvGraphicFramePr>
      <xdr:xfrm>
        <a:off x="211320" y="3191040"/>
        <a:ext cx="86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35</xdr:row>
      <xdr:rowOff>0</xdr:rowOff>
    </xdr:from>
    <xdr:to>
      <xdr:col>9</xdr:col>
      <xdr:colOff>110880</xdr:colOff>
      <xdr:row>52</xdr:row>
      <xdr:rowOff>181080</xdr:rowOff>
    </xdr:to>
    <xdr:graphicFrame>
      <xdr:nvGraphicFramePr>
        <xdr:cNvPr id="1" name="Chart 2"/>
        <xdr:cNvGraphicFramePr/>
      </xdr:nvGraphicFramePr>
      <xdr:xfrm>
        <a:off x="211320" y="7191360"/>
        <a:ext cx="863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56</xdr:row>
      <xdr:rowOff>0</xdr:rowOff>
    </xdr:from>
    <xdr:to>
      <xdr:col>9</xdr:col>
      <xdr:colOff>110880</xdr:colOff>
      <xdr:row>73</xdr:row>
      <xdr:rowOff>181440</xdr:rowOff>
    </xdr:to>
    <xdr:graphicFrame>
      <xdr:nvGraphicFramePr>
        <xdr:cNvPr id="2" name="Chart 3"/>
        <xdr:cNvGraphicFramePr/>
      </xdr:nvGraphicFramePr>
      <xdr:xfrm>
        <a:off x="211320" y="11192040"/>
        <a:ext cx="863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88</xdr:row>
      <xdr:rowOff>97200</xdr:rowOff>
    </xdr:from>
    <xdr:to>
      <xdr:col>9</xdr:col>
      <xdr:colOff>110880</xdr:colOff>
      <xdr:row>106</xdr:row>
      <xdr:rowOff>87840</xdr:rowOff>
    </xdr:to>
    <xdr:graphicFrame>
      <xdr:nvGraphicFramePr>
        <xdr:cNvPr id="3" name="Chart 4"/>
        <xdr:cNvGraphicFramePr/>
      </xdr:nvGraphicFramePr>
      <xdr:xfrm>
        <a:off x="211320" y="17716680"/>
        <a:ext cx="8639640" cy="34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J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8"/>
    <col collapsed="false" customWidth="true" hidden="false" outlineLevel="0" max="4" min="4" style="0" width="38"/>
    <col collapsed="false" customWidth="true" hidden="false" outlineLevel="0" max="10" min="5" style="0" width="16"/>
  </cols>
  <sheetData>
    <row r="1" customFormat="false" ht="30" hidden="false" customHeight="true" outlineLevel="0" collapsed="false">
      <c r="A1" s="1" t="s">
        <v>0</v>
      </c>
      <c r="B1" s="1"/>
      <c r="C1" s="1"/>
      <c r="D1" s="1"/>
      <c r="E1" s="1"/>
      <c r="F1" s="1"/>
      <c r="G1" s="1"/>
      <c r="H1" s="1"/>
      <c r="I1" s="1"/>
      <c r="J1" s="1"/>
    </row>
    <row r="2" customFormat="false" ht="19.5" hidden="false" customHeight="true" outlineLevel="0" collapsed="false">
      <c r="A2" s="2" t="s">
        <v>1</v>
      </c>
      <c r="B2" s="2"/>
      <c r="C2" s="2"/>
      <c r="D2" s="2"/>
      <c r="E2" s="2"/>
      <c r="F2" s="2"/>
      <c r="G2" s="2"/>
      <c r="H2" s="2"/>
      <c r="I2" s="2"/>
      <c r="J2" s="2"/>
    </row>
    <row r="4" customFormat="false" ht="21.75" hidden="false" customHeight="true" outlineLevel="0" collapsed="false">
      <c r="B4" s="3" t="s">
        <v>2</v>
      </c>
      <c r="C4" s="3"/>
      <c r="D4" s="3"/>
      <c r="E4" s="3"/>
      <c r="F4" s="3"/>
      <c r="G4" s="3"/>
      <c r="H4" s="3"/>
    </row>
    <row r="5" customFormat="false" ht="15" hidden="false" customHeight="false" outlineLevel="0" collapsed="false">
      <c r="B5" s="4" t="s">
        <v>3</v>
      </c>
      <c r="C5" s="5" t="s">
        <v>4</v>
      </c>
    </row>
    <row r="6" customFormat="false" ht="15" hidden="false" customHeight="false" outlineLevel="0" collapsed="false">
      <c r="B6" s="4" t="s">
        <v>5</v>
      </c>
      <c r="C6" s="5" t="s">
        <v>6</v>
      </c>
    </row>
    <row r="7" customFormat="false" ht="15" hidden="false" customHeight="false" outlineLevel="0" collapsed="false">
      <c r="B7" s="4" t="s">
        <v>7</v>
      </c>
      <c r="C7" s="5" t="s">
        <v>8</v>
      </c>
    </row>
    <row r="8" customFormat="false" ht="15" hidden="false" customHeight="false" outlineLevel="0" collapsed="false">
      <c r="B8" s="4" t="s">
        <v>9</v>
      </c>
      <c r="C8" s="5" t="s">
        <v>10</v>
      </c>
    </row>
    <row r="9" customFormat="false" ht="15" hidden="false" customHeight="false" outlineLevel="0" collapsed="false">
      <c r="B9" s="4" t="s">
        <v>11</v>
      </c>
      <c r="C9" s="5" t="s">
        <v>12</v>
      </c>
    </row>
    <row r="10" customFormat="false" ht="15" hidden="false" customHeight="false" outlineLevel="0" collapsed="false">
      <c r="B10" s="4" t="s">
        <v>13</v>
      </c>
      <c r="C10" s="5" t="s">
        <v>14</v>
      </c>
    </row>
    <row r="11" customFormat="false" ht="15" hidden="false" customHeight="false" outlineLevel="0" collapsed="false">
      <c r="B11" s="4" t="s">
        <v>15</v>
      </c>
      <c r="C11" s="5" t="s">
        <v>16</v>
      </c>
    </row>
    <row r="12" customFormat="false" ht="23.85" hidden="false" customHeight="false" outlineLevel="0" collapsed="false">
      <c r="B12" s="4" t="s">
        <v>17</v>
      </c>
      <c r="C12" s="5" t="s">
        <v>18</v>
      </c>
    </row>
    <row r="13" customFormat="false" ht="15" hidden="false" customHeight="false" outlineLevel="0" collapsed="false">
      <c r="B13" s="4" t="s">
        <v>19</v>
      </c>
      <c r="C13" s="5" t="s">
        <v>20</v>
      </c>
    </row>
    <row r="15" customFormat="false" ht="21.75" hidden="false" customHeight="true" outlineLevel="0" collapsed="false">
      <c r="B15" s="3" t="s">
        <v>21</v>
      </c>
      <c r="C15" s="3"/>
      <c r="D15" s="3"/>
      <c r="E15" s="3"/>
      <c r="F15" s="3"/>
      <c r="G15" s="3"/>
      <c r="H15" s="3"/>
    </row>
    <row r="16" customFormat="false" ht="19.5" hidden="false" customHeight="true" outlineLevel="0" collapsed="false">
      <c r="B16" s="6" t="s">
        <v>22</v>
      </c>
      <c r="C16" s="6"/>
      <c r="D16" s="6"/>
      <c r="E16" s="6"/>
      <c r="F16" s="6"/>
      <c r="G16" s="6"/>
      <c r="H16" s="6"/>
    </row>
    <row r="17" customFormat="false" ht="19.5" hidden="false" customHeight="true" outlineLevel="0" collapsed="false">
      <c r="B17" s="6"/>
      <c r="C17" s="6"/>
      <c r="D17" s="6"/>
      <c r="E17" s="6"/>
      <c r="F17" s="6"/>
      <c r="G17" s="6"/>
      <c r="H17" s="6"/>
    </row>
    <row r="18" customFormat="false" ht="19.5" hidden="false" customHeight="true" outlineLevel="0" collapsed="false">
      <c r="B18" s="6"/>
      <c r="C18" s="6"/>
      <c r="D18" s="6"/>
      <c r="E18" s="6"/>
      <c r="F18" s="6"/>
      <c r="G18" s="6"/>
      <c r="H18" s="6"/>
    </row>
    <row r="20" customFormat="false" ht="21.75" hidden="false" customHeight="true" outlineLevel="0" collapsed="false">
      <c r="B20" s="3" t="s">
        <v>23</v>
      </c>
      <c r="C20" s="3"/>
      <c r="D20" s="3"/>
      <c r="E20" s="3"/>
      <c r="F20" s="3"/>
      <c r="G20" s="3"/>
      <c r="H20" s="3"/>
    </row>
    <row r="21" customFormat="false" ht="35.05" hidden="false" customHeight="false" outlineLevel="0" collapsed="false">
      <c r="B21" s="4" t="s">
        <v>24</v>
      </c>
      <c r="C21" s="5" t="s">
        <v>25</v>
      </c>
    </row>
    <row r="22" customFormat="false" ht="35.05" hidden="false" customHeight="false" outlineLevel="0" collapsed="false">
      <c r="B22" s="4" t="s">
        <v>26</v>
      </c>
      <c r="C22" s="5" t="s">
        <v>27</v>
      </c>
    </row>
    <row r="23" customFormat="false" ht="15" hidden="false" customHeight="false" outlineLevel="0" collapsed="false">
      <c r="B23" s="4" t="s">
        <v>28</v>
      </c>
      <c r="C23" s="5" t="s">
        <v>29</v>
      </c>
    </row>
    <row r="25" customFormat="false" ht="21.75" hidden="false" customHeight="true" outlineLevel="0" collapsed="false">
      <c r="B25" s="3" t="s">
        <v>30</v>
      </c>
      <c r="C25" s="3"/>
      <c r="D25" s="3"/>
      <c r="E25" s="3"/>
      <c r="F25" s="3"/>
      <c r="G25" s="3"/>
      <c r="H25" s="3"/>
    </row>
    <row r="26" customFormat="false" ht="21.75" hidden="false" customHeight="true" outlineLevel="0" collapsed="false">
      <c r="B26" s="7" t="s">
        <v>31</v>
      </c>
      <c r="C26" s="7"/>
      <c r="D26" s="7"/>
      <c r="E26" s="7"/>
      <c r="F26" s="7"/>
      <c r="G26" s="7"/>
      <c r="H26" s="7"/>
    </row>
    <row r="27" customFormat="false" ht="21.75" hidden="false" customHeight="true" outlineLevel="0" collapsed="false">
      <c r="B27" s="7"/>
      <c r="C27" s="7"/>
      <c r="D27" s="7"/>
      <c r="E27" s="7"/>
      <c r="F27" s="7"/>
      <c r="G27" s="7"/>
      <c r="H27" s="7"/>
    </row>
    <row r="29" customFormat="false" ht="21.75" hidden="false" customHeight="true" outlineLevel="0" collapsed="false">
      <c r="B29" s="3" t="s">
        <v>32</v>
      </c>
      <c r="C29" s="3"/>
      <c r="D29" s="3"/>
      <c r="E29" s="3"/>
      <c r="F29" s="3"/>
      <c r="G29" s="3"/>
      <c r="H29" s="3"/>
    </row>
    <row r="30" customFormat="false" ht="35.05" hidden="false" customHeight="false" outlineLevel="0" collapsed="false">
      <c r="B30" s="4" t="s">
        <v>33</v>
      </c>
      <c r="C30" s="5" t="s">
        <v>34</v>
      </c>
    </row>
    <row r="31" customFormat="false" ht="23.85" hidden="false" customHeight="false" outlineLevel="0" collapsed="false">
      <c r="B31" s="4" t="s">
        <v>35</v>
      </c>
      <c r="C31" s="5" t="s">
        <v>36</v>
      </c>
    </row>
    <row r="32" customFormat="false" ht="23.85" hidden="false" customHeight="false" outlineLevel="0" collapsed="false">
      <c r="B32" s="4" t="s">
        <v>37</v>
      </c>
      <c r="C32" s="5" t="s">
        <v>38</v>
      </c>
    </row>
    <row r="33" customFormat="false" ht="23.85" hidden="false" customHeight="false" outlineLevel="0" collapsed="false">
      <c r="B33" s="4" t="s">
        <v>39</v>
      </c>
      <c r="C33" s="5" t="s">
        <v>40</v>
      </c>
    </row>
    <row r="34" customFormat="false" ht="23.85" hidden="false" customHeight="false" outlineLevel="0" collapsed="false">
      <c r="B34" s="4" t="s">
        <v>41</v>
      </c>
      <c r="C34" s="5" t="s">
        <v>42</v>
      </c>
    </row>
    <row r="35" customFormat="false" ht="23.85" hidden="false" customHeight="false" outlineLevel="0" collapsed="false">
      <c r="B35" s="4" t="s">
        <v>43</v>
      </c>
      <c r="C35" s="5" t="s">
        <v>44</v>
      </c>
    </row>
    <row r="36" customFormat="false" ht="15" hidden="false" customHeight="false" outlineLevel="0" collapsed="false">
      <c r="B36" s="4" t="s">
        <v>45</v>
      </c>
      <c r="C36" s="5" t="s">
        <v>46</v>
      </c>
    </row>
    <row r="37" customFormat="false" ht="35.05" hidden="false" customHeight="false" outlineLevel="0" collapsed="false">
      <c r="B37" s="4" t="s">
        <v>47</v>
      </c>
      <c r="C37" s="5" t="s">
        <v>48</v>
      </c>
    </row>
    <row r="38" customFormat="false" ht="23.85" hidden="false" customHeight="false" outlineLevel="0" collapsed="false">
      <c r="B38" s="4" t="s">
        <v>49</v>
      </c>
      <c r="C38" s="5" t="s">
        <v>50</v>
      </c>
    </row>
    <row r="39" customFormat="false" ht="23.85" hidden="false" customHeight="false" outlineLevel="0" collapsed="false">
      <c r="B39" s="4" t="s">
        <v>51</v>
      </c>
      <c r="C39" s="5" t="s">
        <v>52</v>
      </c>
    </row>
    <row r="40" customFormat="false" ht="23.85" hidden="false" customHeight="false" outlineLevel="0" collapsed="false">
      <c r="B40" s="4" t="s">
        <v>53</v>
      </c>
      <c r="C40" s="5" t="s">
        <v>54</v>
      </c>
    </row>
  </sheetData>
  <mergeCells count="9">
    <mergeCell ref="A1:J1"/>
    <mergeCell ref="A2:J2"/>
    <mergeCell ref="B4:H4"/>
    <mergeCell ref="B15:H15"/>
    <mergeCell ref="B16:H18"/>
    <mergeCell ref="B20:H20"/>
    <mergeCell ref="B25:H25"/>
    <mergeCell ref="B26:H27"/>
    <mergeCell ref="B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6"/>
    <col collapsed="false" customWidth="true" hidden="false" outlineLevel="0" max="3" min="3" style="0" width="78"/>
    <col collapsed="false" customWidth="true" hidden="false" outlineLevel="0" max="4" min="4" style="0" width="2"/>
  </cols>
  <sheetData>
    <row r="1" customFormat="false" ht="30" hidden="false" customHeight="true" outlineLevel="0" collapsed="false">
      <c r="A1" s="1" t="s">
        <v>55</v>
      </c>
      <c r="B1" s="1"/>
      <c r="C1" s="1"/>
      <c r="D1" s="1"/>
    </row>
    <row r="2" customFormat="false" ht="19.5" hidden="false" customHeight="true" outlineLevel="0" collapsed="false">
      <c r="A2" s="2" t="s">
        <v>56</v>
      </c>
      <c r="B2" s="2"/>
      <c r="C2" s="2"/>
      <c r="D2" s="2"/>
    </row>
    <row r="4" customFormat="false" ht="33.75" hidden="false" customHeight="true" outlineLevel="0" collapsed="false">
      <c r="B4" s="8" t="s">
        <v>57</v>
      </c>
      <c r="C4" s="8" t="s">
        <v>58</v>
      </c>
    </row>
    <row r="5" customFormat="false" ht="21.75" hidden="false" customHeight="true" outlineLevel="0" collapsed="false">
      <c r="B5" s="3" t="s">
        <v>59</v>
      </c>
      <c r="C5" s="3"/>
    </row>
    <row r="6" customFormat="false" ht="72" hidden="false" customHeight="true" outlineLevel="0" collapsed="false">
      <c r="B6" s="9" t="s">
        <v>60</v>
      </c>
      <c r="C6" s="10" t="s">
        <v>61</v>
      </c>
    </row>
    <row r="7" customFormat="false" ht="42" hidden="false" customHeight="true" outlineLevel="0" collapsed="false">
      <c r="B7" s="11" t="s">
        <v>62</v>
      </c>
      <c r="C7" s="12" t="s">
        <v>63</v>
      </c>
    </row>
    <row r="8" customFormat="false" ht="42" hidden="false" customHeight="true" outlineLevel="0" collapsed="false">
      <c r="B8" s="11" t="s">
        <v>64</v>
      </c>
      <c r="C8" s="12" t="s">
        <v>65</v>
      </c>
    </row>
    <row r="9" customFormat="false" ht="42" hidden="false" customHeight="true" outlineLevel="0" collapsed="false">
      <c r="B9" s="11" t="s">
        <v>66</v>
      </c>
      <c r="C9" s="12" t="s">
        <v>67</v>
      </c>
    </row>
    <row r="10" customFormat="false" ht="42" hidden="false" customHeight="true" outlineLevel="0" collapsed="false">
      <c r="B10" s="11" t="s">
        <v>68</v>
      </c>
      <c r="C10" s="12" t="s">
        <v>69</v>
      </c>
    </row>
    <row r="11" customFormat="false" ht="42" hidden="false" customHeight="true" outlineLevel="0" collapsed="false">
      <c r="B11" s="13" t="s">
        <v>70</v>
      </c>
      <c r="C11" s="14" t="s">
        <v>71</v>
      </c>
    </row>
    <row r="12" customFormat="false" ht="72" hidden="false" customHeight="true" outlineLevel="0" collapsed="false">
      <c r="B12" s="11" t="s">
        <v>72</v>
      </c>
      <c r="C12" s="12" t="s">
        <v>73</v>
      </c>
    </row>
    <row r="13" customFormat="false" ht="42" hidden="false" customHeight="true" outlineLevel="0" collapsed="false">
      <c r="B13" s="13" t="s">
        <v>74</v>
      </c>
      <c r="C13" s="14" t="s">
        <v>75</v>
      </c>
    </row>
    <row r="14" customFormat="false" ht="9.75" hidden="false" customHeight="true" outlineLevel="0" collapsed="false"/>
    <row r="15" customFormat="false" ht="21.75" hidden="false" customHeight="true" outlineLevel="0" collapsed="false">
      <c r="B15" s="15" t="s">
        <v>76</v>
      </c>
      <c r="C15" s="15"/>
    </row>
    <row r="16" customFormat="false" ht="42" hidden="false" customHeight="true" outlineLevel="0" collapsed="false">
      <c r="B16" s="9" t="s">
        <v>77</v>
      </c>
      <c r="C16" s="10" t="s">
        <v>78</v>
      </c>
    </row>
    <row r="17" customFormat="false" ht="42" hidden="false" customHeight="true" outlineLevel="0" collapsed="false">
      <c r="B17" s="11" t="s">
        <v>79</v>
      </c>
      <c r="C17" s="12" t="s">
        <v>80</v>
      </c>
    </row>
    <row r="18" customFormat="false" ht="57" hidden="false" customHeight="true" outlineLevel="0" collapsed="false">
      <c r="B18" s="11" t="s">
        <v>81</v>
      </c>
      <c r="C18" s="12" t="s">
        <v>82</v>
      </c>
    </row>
    <row r="19" customFormat="false" ht="57" hidden="false" customHeight="true" outlineLevel="0" collapsed="false">
      <c r="B19" s="11" t="s">
        <v>83</v>
      </c>
      <c r="C19" s="12" t="s">
        <v>84</v>
      </c>
    </row>
    <row r="20" customFormat="false" ht="30" hidden="false" customHeight="true" outlineLevel="0" collapsed="false">
      <c r="B20" s="13" t="s">
        <v>85</v>
      </c>
      <c r="C20" s="14" t="s">
        <v>86</v>
      </c>
    </row>
    <row r="21" customFormat="false" ht="42" hidden="false" customHeight="true" outlineLevel="0" collapsed="false">
      <c r="B21" s="11" t="s">
        <v>87</v>
      </c>
      <c r="C21" s="12" t="s">
        <v>88</v>
      </c>
    </row>
    <row r="22" customFormat="false" ht="57" hidden="false" customHeight="true" outlineLevel="0" collapsed="false">
      <c r="B22" s="11" t="s">
        <v>89</v>
      </c>
      <c r="C22" s="12" t="s">
        <v>90</v>
      </c>
    </row>
    <row r="23" customFormat="false" ht="57" hidden="false" customHeight="true" outlineLevel="0" collapsed="false">
      <c r="B23" s="11" t="s">
        <v>91</v>
      </c>
      <c r="C23" s="12" t="s">
        <v>92</v>
      </c>
    </row>
    <row r="24" customFormat="false" ht="9.75" hidden="false" customHeight="true" outlineLevel="0" collapsed="false"/>
    <row r="25" customFormat="false" ht="21.75" hidden="false" customHeight="true" outlineLevel="0" collapsed="false">
      <c r="B25" s="3" t="s">
        <v>93</v>
      </c>
      <c r="C25" s="3"/>
    </row>
    <row r="26" customFormat="false" ht="72" hidden="false" customHeight="true" outlineLevel="0" collapsed="false">
      <c r="B26" s="11" t="s">
        <v>94</v>
      </c>
      <c r="C26" s="12" t="s">
        <v>95</v>
      </c>
    </row>
    <row r="27" customFormat="false" ht="30" hidden="false" customHeight="true" outlineLevel="0" collapsed="false">
      <c r="B27" s="11" t="s">
        <v>96</v>
      </c>
      <c r="C27" s="12" t="s">
        <v>97</v>
      </c>
    </row>
    <row r="28" customFormat="false" ht="57" hidden="false" customHeight="true" outlineLevel="0" collapsed="false">
      <c r="B28" s="11" t="s">
        <v>98</v>
      </c>
      <c r="C28" s="12" t="s">
        <v>99</v>
      </c>
    </row>
    <row r="29" customFormat="false" ht="72" hidden="false" customHeight="true" outlineLevel="0" collapsed="false">
      <c r="B29" s="11" t="s">
        <v>100</v>
      </c>
      <c r="C29" s="12" t="s">
        <v>101</v>
      </c>
    </row>
    <row r="30" customFormat="false" ht="30" hidden="false" customHeight="true" outlineLevel="0" collapsed="false">
      <c r="B30" s="13" t="s">
        <v>102</v>
      </c>
      <c r="C30" s="14" t="s">
        <v>103</v>
      </c>
    </row>
    <row r="31" customFormat="false" ht="9.75" hidden="false" customHeight="true" outlineLevel="0" collapsed="false"/>
    <row r="32" customFormat="false" ht="21.75" hidden="false" customHeight="true" outlineLevel="0" collapsed="false">
      <c r="B32" s="3" t="s">
        <v>104</v>
      </c>
      <c r="C32" s="3"/>
    </row>
    <row r="33" customFormat="false" ht="42" hidden="false" customHeight="true" outlineLevel="0" collapsed="false">
      <c r="B33" s="11" t="s">
        <v>105</v>
      </c>
      <c r="C33" s="12" t="s">
        <v>106</v>
      </c>
    </row>
    <row r="34" customFormat="false" ht="30" hidden="false" customHeight="true" outlineLevel="0" collapsed="false">
      <c r="B34" s="11" t="s">
        <v>96</v>
      </c>
      <c r="C34" s="12"/>
    </row>
    <row r="35" customFormat="false" ht="57" hidden="false" customHeight="true" outlineLevel="0" collapsed="false">
      <c r="B35" s="11" t="s">
        <v>107</v>
      </c>
      <c r="C35" s="12" t="s">
        <v>108</v>
      </c>
    </row>
    <row r="36" customFormat="false" ht="57" hidden="false" customHeight="true" outlineLevel="0" collapsed="false">
      <c r="B36" s="11" t="s">
        <v>109</v>
      </c>
      <c r="C36" s="12" t="s">
        <v>110</v>
      </c>
    </row>
    <row r="37" customFormat="false" ht="30" hidden="false" customHeight="true" outlineLevel="0" collapsed="false">
      <c r="B37" s="13" t="s">
        <v>111</v>
      </c>
      <c r="C37" s="14" t="s">
        <v>112</v>
      </c>
    </row>
    <row r="38" customFormat="false" ht="42" hidden="false" customHeight="true" outlineLevel="0" collapsed="false">
      <c r="B38" s="11" t="s">
        <v>113</v>
      </c>
      <c r="C38" s="12" t="s">
        <v>114</v>
      </c>
    </row>
    <row r="39" customFormat="false" ht="9.75" hidden="false" customHeight="true" outlineLevel="0" collapsed="false"/>
    <row r="40" customFormat="false" ht="21.75" hidden="false" customHeight="true" outlineLevel="0" collapsed="false">
      <c r="B40" s="3" t="s">
        <v>115</v>
      </c>
      <c r="C40" s="3"/>
    </row>
    <row r="41" customFormat="false" ht="87" hidden="false" customHeight="true" outlineLevel="0" collapsed="false">
      <c r="B41" s="11" t="s">
        <v>116</v>
      </c>
      <c r="C41" s="12" t="s">
        <v>117</v>
      </c>
    </row>
    <row r="42" customFormat="false" ht="57" hidden="false" customHeight="true" outlineLevel="0" collapsed="false">
      <c r="B42" s="11" t="s">
        <v>118</v>
      </c>
      <c r="C42" s="12" t="s">
        <v>119</v>
      </c>
    </row>
    <row r="43" customFormat="false" ht="9.75" hidden="false" customHeight="true" outlineLevel="0" collapsed="false"/>
    <row r="44" customFormat="false" ht="21.75" hidden="false" customHeight="true" outlineLevel="0" collapsed="false">
      <c r="B44" s="3" t="s">
        <v>120</v>
      </c>
      <c r="C44" s="3"/>
    </row>
    <row r="45" customFormat="false" ht="57" hidden="false" customHeight="true" outlineLevel="0" collapsed="false">
      <c r="B45" s="9" t="s">
        <v>121</v>
      </c>
      <c r="C45" s="10" t="s">
        <v>122</v>
      </c>
    </row>
    <row r="46" customFormat="false" ht="57" hidden="false" customHeight="true" outlineLevel="0" collapsed="false">
      <c r="B46" s="9" t="s">
        <v>123</v>
      </c>
      <c r="C46" s="10" t="s">
        <v>124</v>
      </c>
    </row>
  </sheetData>
  <mergeCells count="8">
    <mergeCell ref="A1:D1"/>
    <mergeCell ref="A2:D2"/>
    <mergeCell ref="B5:C5"/>
    <mergeCell ref="B15:C15"/>
    <mergeCell ref="B25:C25"/>
    <mergeCell ref="B32:C32"/>
    <mergeCell ref="B40:C40"/>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5305"/>
    <pageSetUpPr fitToPage="false"/>
  </sheetPr>
  <dimension ref="A1:A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6"/>
    <col collapsed="false" customWidth="true" hidden="false" outlineLevel="0" max="4" min="4" style="0" width="30"/>
    <col collapsed="false" customWidth="true" hidden="false" outlineLevel="0" max="5" min="5" style="0" width="16"/>
    <col collapsed="false" customWidth="true" hidden="false" outlineLevel="0" max="6" min="6" style="0" width="18"/>
    <col collapsed="false" customWidth="true" hidden="false" outlineLevel="0" max="7" min="7" style="0" width="9"/>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9"/>
    <col collapsed="false" customWidth="true" hidden="false" outlineLevel="0" max="12" min="12" style="0" width="18"/>
    <col collapsed="false" customWidth="true" hidden="false" outlineLevel="0" max="13" min="13" style="0" width="7"/>
    <col collapsed="false" customWidth="true" hidden="false" outlineLevel="0" max="14" min="14" style="0" width="8"/>
    <col collapsed="false" customWidth="true" hidden="false" outlineLevel="0" max="16" min="15" style="0" width="11"/>
    <col collapsed="false" customWidth="true" hidden="false" outlineLevel="0" max="18" min="17" style="0" width="13"/>
    <col collapsed="false" customWidth="true" hidden="false" outlineLevel="0" max="19" min="19" style="0" width="15"/>
    <col collapsed="false" customWidth="true" hidden="false" outlineLevel="0" max="20" min="20" style="0" width="14"/>
    <col collapsed="false" customWidth="true" hidden="false" outlineLevel="0" max="21" min="21" style="0" width="13"/>
    <col collapsed="false" customWidth="true" hidden="false" outlineLevel="0" max="23" min="22" style="0" width="14"/>
    <col collapsed="false" customWidth="true" hidden="false" outlineLevel="0" max="24" min="24" style="0" width="11"/>
    <col collapsed="false" customWidth="true" hidden="false" outlineLevel="0" max="25" min="25" style="0" width="13"/>
    <col collapsed="false" customWidth="true" hidden="false" outlineLevel="0" max="26" min="26" style="0" width="11"/>
    <col collapsed="false" customWidth="true" hidden="false" outlineLevel="0" max="27" min="27" style="0" width="13"/>
    <col collapsed="false" customWidth="true" hidden="false" outlineLevel="0" max="28" min="28" style="0" width="11"/>
    <col collapsed="false" customWidth="true" hidden="false" outlineLevel="0" max="29" min="29" style="0" width="40"/>
    <col collapsed="false" customWidth="true" hidden="false" outlineLevel="0" max="30" min="30" style="0" width="72"/>
    <col collapsed="false" customWidth="true" hidden="false" outlineLevel="0" max="31" min="31" style="0" width="56"/>
  </cols>
  <sheetData>
    <row r="1" customFormat="false" ht="30" hidden="false" customHeight="true" outlineLevel="0" collapsed="false">
      <c r="A1" s="1" t="s">
        <v>125</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ustomFormat="false" ht="19.5" hidden="false" customHeight="true" outlineLevel="0" collapsed="false">
      <c r="A2" s="2" t="s">
        <v>126</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customFormat="false" ht="33.75" hidden="false" customHeight="true" outlineLevel="0" collapsed="false">
      <c r="A4" s="8" t="s">
        <v>127</v>
      </c>
      <c r="B4" s="8" t="s">
        <v>128</v>
      </c>
      <c r="C4" s="8" t="s">
        <v>129</v>
      </c>
      <c r="D4" s="8" t="s">
        <v>130</v>
      </c>
      <c r="E4" s="8" t="s">
        <v>131</v>
      </c>
      <c r="F4" s="8" t="s">
        <v>132</v>
      </c>
      <c r="G4" s="8" t="s">
        <v>133</v>
      </c>
      <c r="H4" s="8" t="s">
        <v>134</v>
      </c>
      <c r="I4" s="8" t="s">
        <v>135</v>
      </c>
      <c r="J4" s="8" t="s">
        <v>136</v>
      </c>
      <c r="K4" s="8" t="s">
        <v>137</v>
      </c>
      <c r="L4" s="8" t="s">
        <v>138</v>
      </c>
      <c r="M4" s="8" t="s">
        <v>139</v>
      </c>
      <c r="N4" s="8" t="s">
        <v>140</v>
      </c>
      <c r="O4" s="8" t="s">
        <v>141</v>
      </c>
      <c r="P4" s="8" t="s">
        <v>142</v>
      </c>
      <c r="Q4" s="8" t="s">
        <v>143</v>
      </c>
      <c r="R4" s="8" t="s">
        <v>144</v>
      </c>
      <c r="S4" s="8" t="s">
        <v>145</v>
      </c>
      <c r="T4" s="8" t="s">
        <v>146</v>
      </c>
      <c r="U4" s="8" t="s">
        <v>147</v>
      </c>
      <c r="V4" s="8" t="s">
        <v>148</v>
      </c>
      <c r="W4" s="8" t="s">
        <v>149</v>
      </c>
      <c r="X4" s="8" t="s">
        <v>150</v>
      </c>
      <c r="Y4" s="8" t="s">
        <v>151</v>
      </c>
      <c r="Z4" s="8" t="s">
        <v>152</v>
      </c>
      <c r="AA4" s="8" t="s">
        <v>153</v>
      </c>
      <c r="AB4" s="8" t="s">
        <v>154</v>
      </c>
      <c r="AC4" s="8" t="s">
        <v>155</v>
      </c>
      <c r="AD4" s="8" t="s">
        <v>156</v>
      </c>
      <c r="AE4" s="8" t="s">
        <v>157</v>
      </c>
    </row>
    <row r="5" customFormat="false" ht="108" hidden="false" customHeight="true" outlineLevel="0" collapsed="false">
      <c r="A5" s="16" t="n">
        <f aca="false">RANK(B5,$B$5:$B$11,0)</f>
        <v>1</v>
      </c>
      <c r="B5" s="17" t="n">
        <f aca="false">ROUND(30*MIN(V5/2.5,1)+20*MIN(Y5/2500,1)+5*Z5+3*AA5+2*(6-AB5),0)</f>
        <v>80</v>
      </c>
      <c r="C5" s="18" t="s">
        <v>158</v>
      </c>
      <c r="D5" s="19" t="s">
        <v>159</v>
      </c>
      <c r="E5" s="20" t="s">
        <v>160</v>
      </c>
      <c r="F5" s="20" t="s">
        <v>161</v>
      </c>
      <c r="G5" s="21" t="s">
        <v>162</v>
      </c>
      <c r="H5" s="21"/>
      <c r="I5" s="22" t="n">
        <v>146</v>
      </c>
      <c r="J5" s="22" t="n">
        <v>367</v>
      </c>
      <c r="K5" s="22" t="n">
        <f aca="false">I5+J5</f>
        <v>513</v>
      </c>
      <c r="L5" s="23" t="s">
        <v>163</v>
      </c>
      <c r="M5" s="21" t="s">
        <v>164</v>
      </c>
      <c r="N5" s="22"/>
      <c r="O5" s="22" t="n">
        <v>4700</v>
      </c>
      <c r="P5" s="24" t="n">
        <v>800</v>
      </c>
      <c r="Q5" s="25" t="n">
        <f aca="false">IF(OR(P5="",J5=0),"",P5/J5)</f>
        <v>2.17983651226158</v>
      </c>
      <c r="R5" s="24" t="n">
        <v>1287</v>
      </c>
      <c r="S5" s="24" t="n">
        <f aca="false">ROUNDUP(K5*'RATE CALC'!$C$5/25,0)*25</f>
        <v>1050</v>
      </c>
      <c r="T5" s="26" t="n">
        <v>1300</v>
      </c>
      <c r="U5" s="26" t="n">
        <v>1050</v>
      </c>
      <c r="V5" s="25" t="n">
        <f aca="false">IF(K5=0,"",T5/K5)</f>
        <v>2.53411306042885</v>
      </c>
      <c r="W5" s="25" t="n">
        <f aca="false">IF(J5=0,"",T5/J5)</f>
        <v>3.54223433242507</v>
      </c>
      <c r="X5" s="24" t="n">
        <f aca="false">IF('RATE CALC'!$C$6=0,"",K5/'RATE CALC'!$C$6*'RATE CALC'!$C$7)</f>
        <v>189.81</v>
      </c>
      <c r="Y5" s="24" t="n">
        <f aca="false">T5-X5</f>
        <v>1110.19</v>
      </c>
      <c r="Z5" s="27" t="n">
        <v>5</v>
      </c>
      <c r="AA5" s="27" t="n">
        <v>2</v>
      </c>
      <c r="AB5" s="27" t="n">
        <v>1</v>
      </c>
      <c r="AC5" s="23" t="s">
        <v>165</v>
      </c>
      <c r="AD5" s="23" t="s">
        <v>166</v>
      </c>
      <c r="AE5" s="23" t="s">
        <v>167</v>
      </c>
    </row>
    <row r="6" customFormat="false" ht="108" hidden="false" customHeight="true" outlineLevel="0" collapsed="false">
      <c r="A6" s="16" t="n">
        <f aca="false">RANK(B6,$B$5:$B$11,0)</f>
        <v>5</v>
      </c>
      <c r="B6" s="17" t="n">
        <f aca="false">ROUND(30*MIN(V6/2.5,1)+20*MIN(Y6/2500,1)+5*Z6+3*AA6+2*(6-AB6),0)</f>
        <v>70</v>
      </c>
      <c r="C6" s="18" t="s">
        <v>168</v>
      </c>
      <c r="D6" s="19" t="s">
        <v>169</v>
      </c>
      <c r="E6" s="20" t="s">
        <v>170</v>
      </c>
      <c r="F6" s="20" t="s">
        <v>171</v>
      </c>
      <c r="G6" s="21" t="s">
        <v>172</v>
      </c>
      <c r="H6" s="21" t="s">
        <v>173</v>
      </c>
      <c r="I6" s="22" t="n">
        <v>92</v>
      </c>
      <c r="J6" s="22" t="n">
        <v>655</v>
      </c>
      <c r="K6" s="22" t="n">
        <f aca="false">I6+J6</f>
        <v>747</v>
      </c>
      <c r="L6" s="23" t="s">
        <v>163</v>
      </c>
      <c r="M6" s="21" t="s">
        <v>164</v>
      </c>
      <c r="N6" s="22" t="n">
        <v>30</v>
      </c>
      <c r="O6" s="22" t="n">
        <v>1095</v>
      </c>
      <c r="P6" s="24" t="n">
        <v>1400</v>
      </c>
      <c r="Q6" s="25" t="n">
        <f aca="false">IF(OR(P6="",J6=0),"",P6/J6)</f>
        <v>2.13740458015267</v>
      </c>
      <c r="R6" s="24" t="n">
        <v>3235</v>
      </c>
      <c r="S6" s="24" t="n">
        <f aca="false">ROUNDUP(K6*'RATE CALC'!$C$5/25,0)*25</f>
        <v>1500</v>
      </c>
      <c r="T6" s="26" t="n">
        <v>1600</v>
      </c>
      <c r="U6" s="26" t="n">
        <v>1500</v>
      </c>
      <c r="V6" s="25" t="n">
        <f aca="false">IF(K6=0,"",T6/K6)</f>
        <v>2.14190093708166</v>
      </c>
      <c r="W6" s="25" t="n">
        <f aca="false">IF(J6=0,"",T6/J6)</f>
        <v>2.44274809160305</v>
      </c>
      <c r="X6" s="24" t="n">
        <f aca="false">IF('RATE CALC'!$C$6=0,"",K6/'RATE CALC'!$C$6*'RATE CALC'!$C$7)</f>
        <v>276.39</v>
      </c>
      <c r="Y6" s="24" t="n">
        <f aca="false">T6-X6</f>
        <v>1323.61</v>
      </c>
      <c r="Z6" s="27" t="n">
        <v>4</v>
      </c>
      <c r="AA6" s="27" t="n">
        <v>4</v>
      </c>
      <c r="AB6" s="27" t="n">
        <v>5</v>
      </c>
      <c r="AC6" s="23" t="s">
        <v>174</v>
      </c>
      <c r="AD6" s="23" t="s">
        <v>175</v>
      </c>
      <c r="AE6" s="23" t="s">
        <v>176</v>
      </c>
    </row>
    <row r="7" customFormat="false" ht="108" hidden="false" customHeight="true" outlineLevel="0" collapsed="false">
      <c r="A7" s="16" t="n">
        <f aca="false">RANK(B7,$B$5:$B$11,0)</f>
        <v>2</v>
      </c>
      <c r="B7" s="17" t="n">
        <f aca="false">ROUND(30*MIN(V7/2.5,1)+20*MIN(Y7/2500,1)+5*Z7+3*AA7+2*(6-AB7),0)</f>
        <v>78</v>
      </c>
      <c r="C7" s="18" t="s">
        <v>177</v>
      </c>
      <c r="D7" s="19" t="s">
        <v>178</v>
      </c>
      <c r="E7" s="20" t="s">
        <v>179</v>
      </c>
      <c r="F7" s="20" t="s">
        <v>180</v>
      </c>
      <c r="G7" s="21" t="s">
        <v>172</v>
      </c>
      <c r="H7" s="21" t="s">
        <v>173</v>
      </c>
      <c r="I7" s="22" t="n">
        <v>106</v>
      </c>
      <c r="J7" s="22" t="n">
        <v>417</v>
      </c>
      <c r="K7" s="22" t="n">
        <f aca="false">I7+J7</f>
        <v>523</v>
      </c>
      <c r="L7" s="23" t="s">
        <v>181</v>
      </c>
      <c r="M7" s="21" t="s">
        <v>182</v>
      </c>
      <c r="N7" s="22" t="n">
        <v>11</v>
      </c>
      <c r="O7" s="22" t="n">
        <v>6000</v>
      </c>
      <c r="P7" s="24" t="n">
        <v>900</v>
      </c>
      <c r="Q7" s="25" t="n">
        <f aca="false">IF(OR(P7="",J7=0),"",P7/J7)</f>
        <v>2.15827338129496</v>
      </c>
      <c r="R7" s="24"/>
      <c r="S7" s="24" t="n">
        <f aca="false">ROUNDUP(K7*'RATE CALC'!$C$5/25,0)*25</f>
        <v>1050</v>
      </c>
      <c r="T7" s="26" t="n">
        <v>1300</v>
      </c>
      <c r="U7" s="26" t="n">
        <v>1075</v>
      </c>
      <c r="V7" s="25" t="n">
        <f aca="false">IF(K7=0,"",T7/K7)</f>
        <v>2.48565965583174</v>
      </c>
      <c r="W7" s="25" t="n">
        <f aca="false">IF(J7=0,"",T7/J7)</f>
        <v>3.11750599520384</v>
      </c>
      <c r="X7" s="24" t="n">
        <f aca="false">IF('RATE CALC'!$C$6=0,"",K7/'RATE CALC'!$C$6*'RATE CALC'!$C$7)</f>
        <v>193.51</v>
      </c>
      <c r="Y7" s="24" t="n">
        <f aca="false">T7-X7</f>
        <v>1106.49</v>
      </c>
      <c r="Z7" s="27" t="n">
        <v>4</v>
      </c>
      <c r="AA7" s="27" t="n">
        <v>5</v>
      </c>
      <c r="AB7" s="27" t="n">
        <v>4</v>
      </c>
      <c r="AC7" s="23" t="s">
        <v>183</v>
      </c>
      <c r="AD7" s="23" t="s">
        <v>184</v>
      </c>
      <c r="AE7" s="23" t="s">
        <v>185</v>
      </c>
    </row>
    <row r="8" customFormat="false" ht="108" hidden="false" customHeight="true" outlineLevel="0" collapsed="false">
      <c r="A8" s="16" t="n">
        <f aca="false">RANK(B8,$B$5:$B$11,0)</f>
        <v>3</v>
      </c>
      <c r="B8" s="17" t="n">
        <f aca="false">ROUND(30*MIN(V8/2.5,1)+20*MIN(Y8/2500,1)+5*Z8+3*AA8+2*(6-AB8),0)</f>
        <v>77</v>
      </c>
      <c r="C8" s="18" t="s">
        <v>186</v>
      </c>
      <c r="D8" s="19" t="s">
        <v>187</v>
      </c>
      <c r="E8" s="20" t="s">
        <v>188</v>
      </c>
      <c r="F8" s="20" t="s">
        <v>189</v>
      </c>
      <c r="G8" s="21" t="s">
        <v>172</v>
      </c>
      <c r="H8" s="21"/>
      <c r="I8" s="22" t="n">
        <v>82</v>
      </c>
      <c r="J8" s="22" t="n">
        <v>499</v>
      </c>
      <c r="K8" s="22" t="n">
        <f aca="false">I8+J8</f>
        <v>581</v>
      </c>
      <c r="L8" s="23" t="s">
        <v>190</v>
      </c>
      <c r="M8" s="21" t="s">
        <v>182</v>
      </c>
      <c r="N8" s="22" t="n">
        <v>4</v>
      </c>
      <c r="O8" s="22" t="n">
        <v>2900</v>
      </c>
      <c r="P8" s="24"/>
      <c r="Q8" s="25" t="str">
        <f aca="false">IF(OR(P8="",J8=0),"",P8/J8)</f>
        <v/>
      </c>
      <c r="R8" s="24"/>
      <c r="S8" s="24" t="n">
        <f aca="false">ROUNDUP(K8*'RATE CALC'!$C$5/25,0)*25</f>
        <v>1175</v>
      </c>
      <c r="T8" s="26" t="n">
        <v>1300</v>
      </c>
      <c r="U8" s="26" t="n">
        <v>1150</v>
      </c>
      <c r="V8" s="25" t="n">
        <f aca="false">IF(K8=0,"",T8/K8)</f>
        <v>2.23752151462995</v>
      </c>
      <c r="W8" s="25" t="n">
        <f aca="false">IF(J8=0,"",T8/J8)</f>
        <v>2.60521042084168</v>
      </c>
      <c r="X8" s="24" t="n">
        <f aca="false">IF('RATE CALC'!$C$6=0,"",K8/'RATE CALC'!$C$6*'RATE CALC'!$C$7)</f>
        <v>214.97</v>
      </c>
      <c r="Y8" s="24" t="n">
        <f aca="false">T8-X8</f>
        <v>1085.03</v>
      </c>
      <c r="Z8" s="27" t="n">
        <v>4</v>
      </c>
      <c r="AA8" s="27" t="n">
        <v>5</v>
      </c>
      <c r="AB8" s="27" t="n">
        <v>3</v>
      </c>
      <c r="AC8" s="23" t="s">
        <v>191</v>
      </c>
      <c r="AD8" s="23" t="s">
        <v>192</v>
      </c>
      <c r="AE8" s="23" t="s">
        <v>193</v>
      </c>
    </row>
    <row r="9" customFormat="false" ht="108" hidden="false" customHeight="true" outlineLevel="0" collapsed="false">
      <c r="A9" s="16" t="n">
        <f aca="false">RANK(B9,$B$5:$B$11,0)</f>
        <v>4</v>
      </c>
      <c r="B9" s="17" t="n">
        <f aca="false">ROUND(30*MIN(V9/2.5,1)+20*MIN(Y9/2500,1)+5*Z9+3*AA9+2*(6-AB9),0)</f>
        <v>74</v>
      </c>
      <c r="C9" s="18" t="s">
        <v>194</v>
      </c>
      <c r="D9" s="19" t="s">
        <v>195</v>
      </c>
      <c r="E9" s="20" t="s">
        <v>196</v>
      </c>
      <c r="F9" s="20" t="s">
        <v>197</v>
      </c>
      <c r="G9" s="21" t="s">
        <v>172</v>
      </c>
      <c r="H9" s="21"/>
      <c r="I9" s="22" t="n">
        <v>109</v>
      </c>
      <c r="J9" s="22" t="n">
        <v>215</v>
      </c>
      <c r="K9" s="22" t="n">
        <f aca="false">I9+J9</f>
        <v>324</v>
      </c>
      <c r="L9" s="23" t="s">
        <v>198</v>
      </c>
      <c r="M9" s="21" t="s">
        <v>182</v>
      </c>
      <c r="N9" s="22" t="n">
        <v>20</v>
      </c>
      <c r="O9" s="22" t="n">
        <v>8000</v>
      </c>
      <c r="P9" s="24"/>
      <c r="Q9" s="25" t="str">
        <f aca="false">IF(OR(P9="",J9=0),"",P9/J9)</f>
        <v/>
      </c>
      <c r="R9" s="24"/>
      <c r="S9" s="24" t="n">
        <f aca="false">ROUNDUP(K9*'RATE CALC'!$C$5/25,0)*25</f>
        <v>650</v>
      </c>
      <c r="T9" s="26" t="n">
        <v>850</v>
      </c>
      <c r="U9" s="26" t="n">
        <v>675</v>
      </c>
      <c r="V9" s="25" t="n">
        <f aca="false">IF(K9=0,"",T9/K9)</f>
        <v>2.62345679012346</v>
      </c>
      <c r="W9" s="25" t="n">
        <f aca="false">IF(J9=0,"",T9/J9)</f>
        <v>3.95348837209302</v>
      </c>
      <c r="X9" s="24" t="n">
        <f aca="false">IF('RATE CALC'!$C$6=0,"",K9/'RATE CALC'!$C$6*'RATE CALC'!$C$7)</f>
        <v>119.88</v>
      </c>
      <c r="Y9" s="24" t="n">
        <f aca="false">T9-X9</f>
        <v>730.12</v>
      </c>
      <c r="Z9" s="27" t="n">
        <v>4</v>
      </c>
      <c r="AA9" s="27" t="n">
        <v>4</v>
      </c>
      <c r="AB9" s="27" t="n">
        <v>3</v>
      </c>
      <c r="AC9" s="23" t="s">
        <v>199</v>
      </c>
      <c r="AD9" s="23" t="s">
        <v>200</v>
      </c>
      <c r="AE9" s="23" t="s">
        <v>201</v>
      </c>
    </row>
    <row r="10" customFormat="false" ht="108" hidden="false" customHeight="true" outlineLevel="0" collapsed="false">
      <c r="A10" s="16" t="n">
        <f aca="false">RANK(B10,$B$5:$B$11,0)</f>
        <v>6</v>
      </c>
      <c r="B10" s="17" t="n">
        <f aca="false">ROUND(30*MIN(V10/2.5,1)+20*MIN(Y10/2500,1)+5*Z10+3*AA10+2*(6-AB10),0)</f>
        <v>69</v>
      </c>
      <c r="C10" s="18" t="s">
        <v>202</v>
      </c>
      <c r="D10" s="19" t="s">
        <v>178</v>
      </c>
      <c r="E10" s="20" t="s">
        <v>203</v>
      </c>
      <c r="F10" s="20" t="s">
        <v>204</v>
      </c>
      <c r="G10" s="21" t="s">
        <v>172</v>
      </c>
      <c r="H10" s="21" t="s">
        <v>173</v>
      </c>
      <c r="I10" s="22" t="n">
        <v>153</v>
      </c>
      <c r="J10" s="22" t="n">
        <v>758</v>
      </c>
      <c r="K10" s="22" t="n">
        <f aca="false">I10+J10</f>
        <v>911</v>
      </c>
      <c r="L10" s="23" t="s">
        <v>163</v>
      </c>
      <c r="M10" s="21" t="s">
        <v>182</v>
      </c>
      <c r="N10" s="22" t="n">
        <v>14</v>
      </c>
      <c r="O10" s="22" t="n">
        <v>6033</v>
      </c>
      <c r="P10" s="24" t="n">
        <v>1400</v>
      </c>
      <c r="Q10" s="25" t="n">
        <f aca="false">IF(OR(P10="",J10=0),"",P10/J10)</f>
        <v>1.84696569920844</v>
      </c>
      <c r="R10" s="24"/>
      <c r="S10" s="24" t="n">
        <f aca="false">ROUNDUP(K10*'RATE CALC'!$C$5/25,0)*25</f>
        <v>1825</v>
      </c>
      <c r="T10" s="26" t="n">
        <v>2000</v>
      </c>
      <c r="U10" s="26" t="n">
        <v>1850</v>
      </c>
      <c r="V10" s="25" t="n">
        <f aca="false">IF(K10=0,"",T10/K10)</f>
        <v>2.1953896816685</v>
      </c>
      <c r="W10" s="25" t="n">
        <f aca="false">IF(J10=0,"",T10/J10)</f>
        <v>2.63852242744063</v>
      </c>
      <c r="X10" s="24" t="n">
        <f aca="false">IF('RATE CALC'!$C$6=0,"",K10/'RATE CALC'!$C$6*'RATE CALC'!$C$7)</f>
        <v>337.07</v>
      </c>
      <c r="Y10" s="24" t="n">
        <f aca="false">T10-X10</f>
        <v>1662.93</v>
      </c>
      <c r="Z10" s="27" t="n">
        <v>2</v>
      </c>
      <c r="AA10" s="27" t="n">
        <v>5</v>
      </c>
      <c r="AB10" s="27" t="n">
        <v>4</v>
      </c>
      <c r="AC10" s="23" t="s">
        <v>205</v>
      </c>
      <c r="AD10" s="23" t="s">
        <v>206</v>
      </c>
      <c r="AE10" s="23" t="s">
        <v>207</v>
      </c>
    </row>
    <row r="11" customFormat="false" ht="108" hidden="false" customHeight="true" outlineLevel="0" collapsed="false">
      <c r="A11" s="16" t="n">
        <f aca="false">RANK(B11,$B$5:$B$11,0)</f>
        <v>7</v>
      </c>
      <c r="B11" s="17" t="n">
        <f aca="false">ROUND(30*MIN(V11/2.5,1)+20*MIN(Y11/2500,1)+5*Z11+3*AA11+2*(6-AB11),0)</f>
        <v>68</v>
      </c>
      <c r="C11" s="18" t="s">
        <v>208</v>
      </c>
      <c r="D11" s="19" t="s">
        <v>169</v>
      </c>
      <c r="E11" s="20" t="s">
        <v>170</v>
      </c>
      <c r="F11" s="20" t="s">
        <v>209</v>
      </c>
      <c r="G11" s="21" t="s">
        <v>172</v>
      </c>
      <c r="H11" s="21"/>
      <c r="I11" s="22" t="n">
        <v>92</v>
      </c>
      <c r="J11" s="22" t="n">
        <v>417</v>
      </c>
      <c r="K11" s="22" t="n">
        <f aca="false">I11+J11</f>
        <v>509</v>
      </c>
      <c r="L11" s="23" t="s">
        <v>163</v>
      </c>
      <c r="M11" s="21" t="s">
        <v>182</v>
      </c>
      <c r="N11" s="22" t="n">
        <v>20</v>
      </c>
      <c r="O11" s="22" t="n">
        <v>1000</v>
      </c>
      <c r="P11" s="24" t="n">
        <v>900</v>
      </c>
      <c r="Q11" s="25" t="n">
        <f aca="false">IF(OR(P11="",J11=0),"",P11/J11)</f>
        <v>2.15827338129496</v>
      </c>
      <c r="R11" s="24"/>
      <c r="S11" s="24" t="n">
        <f aca="false">ROUNDUP(K11*'RATE CALC'!$C$5/25,0)*25</f>
        <v>1025</v>
      </c>
      <c r="T11" s="26" t="n">
        <v>1150</v>
      </c>
      <c r="U11" s="26" t="n">
        <v>1025</v>
      </c>
      <c r="V11" s="25" t="n">
        <f aca="false">IF(K11=0,"",T11/K11)</f>
        <v>2.25933202357564</v>
      </c>
      <c r="W11" s="25" t="n">
        <f aca="false">IF(J11=0,"",T11/J11)</f>
        <v>2.75779376498801</v>
      </c>
      <c r="X11" s="24" t="n">
        <f aca="false">IF('RATE CALC'!$C$6=0,"",K11/'RATE CALC'!$C$6*'RATE CALC'!$C$7)</f>
        <v>188.33</v>
      </c>
      <c r="Y11" s="24" t="n">
        <f aca="false">T11-X11</f>
        <v>961.67</v>
      </c>
      <c r="Z11" s="27" t="n">
        <v>3</v>
      </c>
      <c r="AA11" s="27" t="n">
        <v>4</v>
      </c>
      <c r="AB11" s="27" t="n">
        <v>3</v>
      </c>
      <c r="AC11" s="23" t="s">
        <v>210</v>
      </c>
      <c r="AD11" s="23" t="s">
        <v>211</v>
      </c>
      <c r="AE11" s="23" t="s">
        <v>212</v>
      </c>
    </row>
    <row r="13" customFormat="false" ht="19.5" hidden="false" customHeight="true" outlineLevel="0" collapsed="false">
      <c r="C13" s="28" t="s">
        <v>213</v>
      </c>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row>
    <row r="14" customFormat="false" ht="33.75" hidden="false" customHeight="true" outlineLevel="0" collapsed="false">
      <c r="C14" s="29" t="s">
        <v>129</v>
      </c>
      <c r="D14" s="29" t="s">
        <v>130</v>
      </c>
      <c r="E14" s="29" t="s">
        <v>214</v>
      </c>
      <c r="F14" s="29" t="s">
        <v>137</v>
      </c>
      <c r="G14" s="29" t="s">
        <v>142</v>
      </c>
      <c r="H14" s="29" t="s">
        <v>215</v>
      </c>
      <c r="I14" s="29" t="s">
        <v>216</v>
      </c>
      <c r="J14" s="29" t="s">
        <v>217</v>
      </c>
    </row>
    <row r="15" customFormat="false" ht="61.5" hidden="false" customHeight="true" outlineLevel="0" collapsed="false">
      <c r="C15" s="30" t="s">
        <v>218</v>
      </c>
      <c r="D15" s="30" t="s">
        <v>219</v>
      </c>
      <c r="E15" s="30" t="s">
        <v>220</v>
      </c>
      <c r="F15" s="31" t="n">
        <v>1867</v>
      </c>
      <c r="G15" s="32"/>
      <c r="H15" s="33" t="str">
        <f aca="false">IF(OR(G15="",G15=0),"not posted",G15/F15)</f>
        <v>not posted</v>
      </c>
      <c r="I15" s="34" t="s">
        <v>221</v>
      </c>
      <c r="J15" s="35" t="s">
        <v>222</v>
      </c>
      <c r="K15" s="35"/>
      <c r="L15" s="35"/>
      <c r="M15" s="35"/>
      <c r="N15" s="35"/>
      <c r="O15" s="35"/>
      <c r="P15" s="35"/>
      <c r="Q15" s="35"/>
      <c r="R15" s="35"/>
      <c r="S15" s="35"/>
      <c r="T15" s="35"/>
      <c r="U15" s="35"/>
      <c r="V15" s="35"/>
      <c r="W15" s="35"/>
      <c r="X15" s="35"/>
      <c r="Y15" s="35"/>
      <c r="Z15" s="35"/>
      <c r="AA15" s="35"/>
      <c r="AB15" s="35"/>
      <c r="AC15" s="35"/>
      <c r="AD15" s="35"/>
      <c r="AE15" s="35"/>
    </row>
    <row r="16" customFormat="false" ht="61.5" hidden="false" customHeight="true" outlineLevel="0" collapsed="false">
      <c r="C16" s="30" t="s">
        <v>223</v>
      </c>
      <c r="D16" s="30" t="s">
        <v>224</v>
      </c>
      <c r="E16" s="30" t="s">
        <v>225</v>
      </c>
      <c r="F16" s="31" t="n">
        <v>965</v>
      </c>
      <c r="G16" s="32" t="n">
        <v>2900</v>
      </c>
      <c r="H16" s="33" t="n">
        <f aca="false">IF(OR(G16="",G16=0),"not posted",G16/F16)</f>
        <v>3.00518134715026</v>
      </c>
      <c r="I16" s="34" t="s">
        <v>226</v>
      </c>
      <c r="J16" s="35" t="s">
        <v>227</v>
      </c>
      <c r="K16" s="35"/>
      <c r="L16" s="35"/>
      <c r="M16" s="35"/>
      <c r="N16" s="35"/>
      <c r="O16" s="35"/>
      <c r="P16" s="35"/>
      <c r="Q16" s="35"/>
      <c r="R16" s="35"/>
      <c r="S16" s="35"/>
      <c r="T16" s="35"/>
      <c r="U16" s="35"/>
      <c r="V16" s="35"/>
      <c r="W16" s="35"/>
      <c r="X16" s="35"/>
      <c r="Y16" s="35"/>
      <c r="Z16" s="35"/>
      <c r="AA16" s="35"/>
      <c r="AB16" s="35"/>
      <c r="AC16" s="35"/>
      <c r="AD16" s="35"/>
      <c r="AE16" s="35"/>
    </row>
    <row r="17" customFormat="false" ht="61.5" hidden="false" customHeight="true" outlineLevel="0" collapsed="false">
      <c r="C17" s="30" t="s">
        <v>228</v>
      </c>
      <c r="D17" s="30" t="s">
        <v>229</v>
      </c>
      <c r="E17" s="30" t="s">
        <v>230</v>
      </c>
      <c r="F17" s="31" t="n">
        <v>1261</v>
      </c>
      <c r="G17" s="32" t="n">
        <v>1850</v>
      </c>
      <c r="H17" s="33" t="n">
        <f aca="false">IF(OR(G17="",G17=0),"not posted",G17/F17)</f>
        <v>1.46708961141951</v>
      </c>
      <c r="I17" s="34" t="s">
        <v>231</v>
      </c>
      <c r="J17" s="35" t="s">
        <v>232</v>
      </c>
      <c r="K17" s="35"/>
      <c r="L17" s="35"/>
      <c r="M17" s="35"/>
      <c r="N17" s="35"/>
      <c r="O17" s="35"/>
      <c r="P17" s="35"/>
      <c r="Q17" s="35"/>
      <c r="R17" s="35"/>
      <c r="S17" s="35"/>
      <c r="T17" s="35"/>
      <c r="U17" s="35"/>
      <c r="V17" s="35"/>
      <c r="W17" s="35"/>
      <c r="X17" s="35"/>
      <c r="Y17" s="35"/>
      <c r="Z17" s="35"/>
      <c r="AA17" s="35"/>
      <c r="AB17" s="35"/>
      <c r="AC17" s="35"/>
      <c r="AD17" s="35"/>
      <c r="AE17" s="35"/>
    </row>
  </sheetData>
  <autoFilter ref="A4:AE11"/>
  <mergeCells count="6">
    <mergeCell ref="A1:AD1"/>
    <mergeCell ref="A2:AD2"/>
    <mergeCell ref="C13:AE13"/>
    <mergeCell ref="J15:AE15"/>
    <mergeCell ref="J16:AE16"/>
    <mergeCell ref="J17:AE17"/>
  </mergeCells>
  <conditionalFormatting sqref="B5:B11">
    <cfRule type="colorScale" priority="2">
      <colorScale>
        <cfvo type="min" val="0"/>
        <cfvo type="max" val="0"/>
        <color rgb="FFFBE7E6"/>
        <color rgb="FFCDEBD9"/>
      </colorScale>
    </cfRule>
  </conditionalFormatting>
  <conditionalFormatting sqref="V5:V11">
    <cfRule type="cellIs" priority="3" operator="lessThan" aboveAverage="0" equalAverage="0" bottom="0" percent="0" rank="0" text="" dxfId="17">
      <formula>'RATE CALC'!$C$5</formula>
    </cfRule>
    <cfRule type="cellIs" priority="4" operator="greaterThanOrEqual" aboveAverage="0" equalAverage="0" bottom="0" percent="0" rank="0" text="" dxfId="18">
      <formula>'RATE CALC'!$C$5</formula>
    </cfRule>
  </conditionalFormatting>
  <conditionalFormatting sqref="AB5:AB11">
    <cfRule type="cellIs" priority="5" operator="greaterThanOrEqual" aboveAverage="0" equalAverage="0" bottom="0" percent="0" rank="0" text="" dxfId="19">
      <formula>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7" min="3" style="0" width="16"/>
    <col collapsed="false" customWidth="true" hidden="false" outlineLevel="0" max="8" min="8" style="0" width="30"/>
    <col collapsed="false" customWidth="true" hidden="false" outlineLevel="0" max="9" min="9" style="0" width="14"/>
    <col collapsed="false" customWidth="true" hidden="false" outlineLevel="0" max="10" min="10" style="0" width="34"/>
  </cols>
  <sheetData>
    <row r="1" customFormat="false" ht="30" hidden="false" customHeight="true" outlineLevel="0" collapsed="false">
      <c r="A1" s="1" t="s">
        <v>233</v>
      </c>
      <c r="B1" s="1"/>
      <c r="C1" s="1"/>
      <c r="D1" s="1"/>
      <c r="E1" s="1"/>
      <c r="F1" s="1"/>
      <c r="G1" s="1"/>
      <c r="H1" s="1"/>
      <c r="I1" s="1"/>
    </row>
    <row r="2" customFormat="false" ht="19.5" hidden="false" customHeight="true" outlineLevel="0" collapsed="false">
      <c r="A2" s="2" t="s">
        <v>234</v>
      </c>
      <c r="B2" s="2"/>
      <c r="C2" s="2"/>
      <c r="D2" s="2"/>
      <c r="E2" s="2"/>
      <c r="F2" s="2"/>
      <c r="G2" s="2"/>
      <c r="H2" s="2"/>
      <c r="I2" s="2"/>
    </row>
    <row r="4" customFormat="false" ht="19.5" hidden="false" customHeight="true" outlineLevel="0" collapsed="false">
      <c r="B4" s="36" t="s">
        <v>235</v>
      </c>
      <c r="C4" s="36"/>
      <c r="D4" s="36"/>
      <c r="E4" s="36"/>
      <c r="F4" s="36"/>
      <c r="G4" s="36"/>
      <c r="H4" s="36"/>
    </row>
    <row r="5" customFormat="false" ht="25.5" hidden="false" customHeight="true" outlineLevel="0" collapsed="false">
      <c r="B5" s="37" t="s">
        <v>236</v>
      </c>
      <c r="C5" s="38" t="n">
        <v>2</v>
      </c>
      <c r="D5" s="39" t="s">
        <v>237</v>
      </c>
      <c r="E5" s="39"/>
      <c r="F5" s="39"/>
      <c r="G5" s="39"/>
      <c r="H5" s="39"/>
    </row>
    <row r="6" customFormat="false" ht="25.5" hidden="false" customHeight="true" outlineLevel="0" collapsed="false">
      <c r="B6" s="37" t="s">
        <v>238</v>
      </c>
      <c r="C6" s="40" t="n">
        <v>10</v>
      </c>
      <c r="D6" s="39" t="s">
        <v>239</v>
      </c>
      <c r="E6" s="39"/>
      <c r="F6" s="39"/>
      <c r="G6" s="39"/>
      <c r="H6" s="39"/>
    </row>
    <row r="7" customFormat="false" ht="25.5" hidden="false" customHeight="true" outlineLevel="0" collapsed="false">
      <c r="B7" s="37" t="s">
        <v>240</v>
      </c>
      <c r="C7" s="41" t="n">
        <v>3.7</v>
      </c>
      <c r="D7" s="39" t="s">
        <v>241</v>
      </c>
      <c r="E7" s="39"/>
      <c r="F7" s="39"/>
      <c r="G7" s="39"/>
      <c r="H7" s="39"/>
    </row>
    <row r="10" customFormat="false" ht="19.5" hidden="false" customHeight="true" outlineLevel="0" collapsed="false">
      <c r="B10" s="36" t="s">
        <v>242</v>
      </c>
      <c r="C10" s="36"/>
      <c r="D10" s="36"/>
      <c r="E10" s="36"/>
      <c r="F10" s="36"/>
      <c r="G10" s="36"/>
      <c r="H10" s="36"/>
    </row>
    <row r="11" customFormat="false" ht="33.75" hidden="false" customHeight="true" outlineLevel="0" collapsed="false">
      <c r="B11" s="8" t="s">
        <v>243</v>
      </c>
      <c r="C11" s="8" t="s">
        <v>136</v>
      </c>
      <c r="D11" s="8" t="s">
        <v>137</v>
      </c>
      <c r="E11" s="8" t="s">
        <v>244</v>
      </c>
      <c r="F11" s="8" t="s">
        <v>245</v>
      </c>
      <c r="G11" s="8" t="s">
        <v>246</v>
      </c>
      <c r="H11" s="8" t="s">
        <v>150</v>
      </c>
      <c r="I11" s="8" t="s">
        <v>151</v>
      </c>
      <c r="J11" s="8" t="s">
        <v>216</v>
      </c>
    </row>
    <row r="12" customFormat="false" ht="15" hidden="false" customHeight="false" outlineLevel="0" collapsed="false">
      <c r="B12" s="42" t="n">
        <v>92</v>
      </c>
      <c r="C12" s="42" t="n">
        <v>655</v>
      </c>
      <c r="D12" s="43" t="n">
        <f aca="false">B12+C12</f>
        <v>747</v>
      </c>
      <c r="E12" s="44" t="n">
        <v>1400</v>
      </c>
      <c r="F12" s="45" t="n">
        <f aca="false">IF(D12=0,"",E12/D12)</f>
        <v>1.87416331994645</v>
      </c>
      <c r="G12" s="45" t="n">
        <f aca="false">IF(C12=0,"",E12/C12)</f>
        <v>2.13740458015267</v>
      </c>
      <c r="H12" s="46" t="n">
        <f aca="false">IF(OR(D12=0,'RATE CALC'!$C$6=0),"",D12/'RATE CALC'!$C$6*'RATE CALC'!$C$7)</f>
        <v>276.39</v>
      </c>
      <c r="I12" s="46" t="n">
        <f aca="false">IF(E12="","",E12-H12)</f>
        <v>1123.61</v>
      </c>
      <c r="J12" s="47" t="str">
        <f aca="false">IF(E12="","",IF(F12&gt;='RATE CALC'!$C$5,"CLEARS THE FLOOR","BELOW FLOOR - need "&amp;TEXT(ROUNDUP(D12*'RATE CALC'!$C$5/25,0)*25,"$#,##0")))</f>
        <v>BELOW FLOOR - need $1,500</v>
      </c>
    </row>
    <row r="15" customFormat="false" ht="15" hidden="false" customHeight="true" outlineLevel="0" collapsed="false">
      <c r="B15" s="48" t="s">
        <v>247</v>
      </c>
      <c r="C15" s="48"/>
      <c r="D15" s="48"/>
      <c r="E15" s="48"/>
      <c r="F15" s="48"/>
      <c r="G15" s="48"/>
      <c r="H15" s="48"/>
      <c r="I15" s="48"/>
      <c r="J15" s="48"/>
    </row>
    <row r="16" customFormat="false" ht="15" hidden="false" customHeight="false" outlineLevel="0" collapsed="false">
      <c r="B16" s="48"/>
      <c r="C16" s="48"/>
      <c r="D16" s="48"/>
      <c r="E16" s="48"/>
      <c r="F16" s="48"/>
      <c r="G16" s="48"/>
      <c r="H16" s="48"/>
      <c r="I16" s="48"/>
      <c r="J16" s="48"/>
    </row>
  </sheetData>
  <mergeCells count="8">
    <mergeCell ref="A1:I1"/>
    <mergeCell ref="A2:I2"/>
    <mergeCell ref="B4:H4"/>
    <mergeCell ref="D5:H5"/>
    <mergeCell ref="D6:H6"/>
    <mergeCell ref="D7:H7"/>
    <mergeCell ref="B10:H10"/>
    <mergeCell ref="B15:J16"/>
  </mergeCells>
  <conditionalFormatting sqref="J12">
    <cfRule type="expression" priority="2" aboveAverage="0" equalAverage="0" bottom="0" percent="0" rank="0" text="" dxfId="20">
      <formula>ISNUMBER(SEARCH("CLEARS",J12))</formula>
    </cfRule>
    <cfRule type="expression" priority="3" aboveAverage="0" equalAverage="0" bottom="0" percent="0" rank="0" text="" dxfId="21">
      <formula>ISNUMBER(SEARCH("BELOW",J12))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X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6"/>
    <col collapsed="false" customWidth="true" hidden="false" outlineLevel="0" max="4" min="4" style="0" width="11"/>
    <col collapsed="false" customWidth="true" hidden="false" outlineLevel="0" max="5" min="5" style="0" width="18"/>
    <col collapsed="false" customWidth="true" hidden="false" outlineLevel="0" max="6" min="6" style="0" width="9"/>
    <col collapsed="false" customWidth="true" hidden="false" outlineLevel="0" max="7" min="7" style="0" width="10"/>
    <col collapsed="false" customWidth="true" hidden="false" outlineLevel="0" max="8" min="8" style="0" width="11"/>
    <col collapsed="false" customWidth="true" hidden="false" outlineLevel="0" max="9" min="9" style="0" width="12"/>
    <col collapsed="false" customWidth="true" hidden="false" outlineLevel="0" max="10" min="10" style="0" width="18"/>
    <col collapsed="false" customWidth="true" hidden="false" outlineLevel="0" max="11" min="11" style="0" width="10"/>
    <col collapsed="false" customWidth="true" hidden="false" outlineLevel="0" max="12" min="12" style="0" width="9"/>
    <col collapsed="false" customWidth="true" hidden="false" outlineLevel="0" max="13" min="13" style="0" width="11"/>
    <col collapsed="false" customWidth="true" hidden="false" outlineLevel="0" max="14" min="14" style="0" width="12"/>
    <col collapsed="false" customWidth="true" hidden="false" outlineLevel="0" max="15" min="15" style="0" width="11"/>
    <col collapsed="false" customWidth="true" hidden="false" outlineLevel="0" max="16" min="16" style="0" width="14"/>
    <col collapsed="false" customWidth="true" hidden="false" outlineLevel="0" max="17" min="17" style="0" width="12"/>
    <col collapsed="false" customWidth="true" hidden="false" outlineLevel="0" max="18" min="18" style="0" width="24"/>
    <col collapsed="false" customWidth="true" hidden="false" outlineLevel="0" max="19" min="19" style="0" width="18"/>
    <col collapsed="false" customWidth="true" hidden="false" outlineLevel="0" max="20" min="20" style="0" width="24"/>
    <col collapsed="false" customWidth="true" hidden="false" outlineLevel="0" max="21" min="21" style="0" width="36"/>
    <col collapsed="false" customWidth="true" hidden="false" outlineLevel="0" max="22" min="22" style="0" width="16"/>
    <col collapsed="false" customWidth="true" hidden="false" outlineLevel="0" max="23" min="23" style="0" width="30"/>
    <col collapsed="false" customWidth="true" hidden="false" outlineLevel="0" max="24" min="24" style="0" width="90"/>
  </cols>
  <sheetData>
    <row r="1" customFormat="false" ht="30" hidden="false" customHeight="true" outlineLevel="0" collapsed="false">
      <c r="A1" s="1" t="s">
        <v>248</v>
      </c>
      <c r="B1" s="1"/>
      <c r="C1" s="1"/>
      <c r="D1" s="1"/>
      <c r="E1" s="1"/>
      <c r="F1" s="1"/>
      <c r="G1" s="1"/>
      <c r="H1" s="1"/>
      <c r="I1" s="1"/>
      <c r="J1" s="1"/>
      <c r="K1" s="1"/>
      <c r="L1" s="1"/>
      <c r="M1" s="1"/>
      <c r="N1" s="1"/>
      <c r="O1" s="1"/>
      <c r="P1" s="1"/>
      <c r="Q1" s="1"/>
      <c r="R1" s="1"/>
      <c r="S1" s="1"/>
      <c r="T1" s="1"/>
      <c r="U1" s="1"/>
      <c r="V1" s="1"/>
    </row>
    <row r="2" customFormat="false" ht="19.5" hidden="false" customHeight="true" outlineLevel="0" collapsed="false">
      <c r="A2" s="2" t="s">
        <v>249</v>
      </c>
      <c r="B2" s="2"/>
      <c r="C2" s="2"/>
      <c r="D2" s="2"/>
      <c r="E2" s="2"/>
      <c r="F2" s="2"/>
      <c r="G2" s="2"/>
      <c r="H2" s="2"/>
      <c r="I2" s="2"/>
      <c r="J2" s="2"/>
      <c r="K2" s="2"/>
      <c r="L2" s="2"/>
      <c r="M2" s="2"/>
      <c r="N2" s="2"/>
      <c r="O2" s="2"/>
      <c r="P2" s="2"/>
      <c r="Q2" s="2"/>
      <c r="R2" s="2"/>
      <c r="S2" s="2"/>
      <c r="T2" s="2"/>
      <c r="U2" s="2"/>
      <c r="V2" s="2"/>
    </row>
    <row r="4" customFormat="false" ht="33.75" hidden="false" customHeight="true" outlineLevel="0" collapsed="false">
      <c r="A4" s="8" t="s">
        <v>129</v>
      </c>
      <c r="B4" s="8" t="s">
        <v>130</v>
      </c>
      <c r="C4" s="8" t="s">
        <v>131</v>
      </c>
      <c r="D4" s="8" t="s">
        <v>243</v>
      </c>
      <c r="E4" s="8" t="s">
        <v>132</v>
      </c>
      <c r="F4" s="8" t="s">
        <v>133</v>
      </c>
      <c r="G4" s="8" t="s">
        <v>134</v>
      </c>
      <c r="H4" s="8" t="s">
        <v>250</v>
      </c>
      <c r="I4" s="8" t="s">
        <v>251</v>
      </c>
      <c r="J4" s="8" t="s">
        <v>252</v>
      </c>
      <c r="K4" s="8" t="s">
        <v>253</v>
      </c>
      <c r="L4" s="8" t="s">
        <v>254</v>
      </c>
      <c r="M4" s="8" t="s">
        <v>141</v>
      </c>
      <c r="N4" s="8" t="s">
        <v>255</v>
      </c>
      <c r="O4" s="8" t="s">
        <v>256</v>
      </c>
      <c r="P4" s="8" t="s">
        <v>144</v>
      </c>
      <c r="Q4" s="8" t="s">
        <v>257</v>
      </c>
      <c r="R4" s="8" t="s">
        <v>258</v>
      </c>
      <c r="S4" s="8" t="s">
        <v>259</v>
      </c>
      <c r="T4" s="8" t="s">
        <v>260</v>
      </c>
      <c r="U4" s="8" t="s">
        <v>261</v>
      </c>
      <c r="V4" s="8" t="s">
        <v>262</v>
      </c>
      <c r="W4" s="8" t="s">
        <v>263</v>
      </c>
      <c r="X4" s="8" t="s">
        <v>264</v>
      </c>
    </row>
    <row r="5" customFormat="false" ht="85.5" hidden="false" customHeight="true" outlineLevel="0" collapsed="false">
      <c r="A5" s="49" t="s">
        <v>186</v>
      </c>
      <c r="B5" s="50" t="s">
        <v>187</v>
      </c>
      <c r="C5" s="51" t="s">
        <v>188</v>
      </c>
      <c r="D5" s="52" t="n">
        <v>82</v>
      </c>
      <c r="E5" s="51" t="s">
        <v>189</v>
      </c>
      <c r="F5" s="53" t="s">
        <v>172</v>
      </c>
      <c r="G5" s="53"/>
      <c r="H5" s="52" t="n">
        <v>499</v>
      </c>
      <c r="I5" s="53" t="s">
        <v>265</v>
      </c>
      <c r="J5" s="50" t="s">
        <v>190</v>
      </c>
      <c r="K5" s="53" t="s">
        <v>182</v>
      </c>
      <c r="L5" s="52" t="n">
        <v>4</v>
      </c>
      <c r="M5" s="52" t="n">
        <v>2900</v>
      </c>
      <c r="N5" s="54"/>
      <c r="O5" s="55"/>
      <c r="P5" s="54"/>
      <c r="Q5" s="55"/>
      <c r="R5" s="50"/>
      <c r="S5" s="51"/>
      <c r="T5" s="50" t="s">
        <v>266</v>
      </c>
      <c r="U5" s="50"/>
      <c r="V5" s="51" t="s">
        <v>267</v>
      </c>
      <c r="W5" s="50" t="s">
        <v>268</v>
      </c>
      <c r="X5" s="50" t="s">
        <v>269</v>
      </c>
    </row>
    <row r="6" customFormat="false" ht="85.5" hidden="false" customHeight="true" outlineLevel="0" collapsed="false">
      <c r="A6" s="18" t="s">
        <v>218</v>
      </c>
      <c r="B6" s="23" t="s">
        <v>219</v>
      </c>
      <c r="C6" s="20" t="s">
        <v>270</v>
      </c>
      <c r="D6" s="22" t="n">
        <v>92</v>
      </c>
      <c r="E6" s="20" t="s">
        <v>271</v>
      </c>
      <c r="F6" s="21" t="s">
        <v>172</v>
      </c>
      <c r="G6" s="21"/>
      <c r="H6" s="22" t="n">
        <v>1775</v>
      </c>
      <c r="I6" s="21" t="s">
        <v>272</v>
      </c>
      <c r="J6" s="23" t="s">
        <v>198</v>
      </c>
      <c r="K6" s="21" t="s">
        <v>164</v>
      </c>
      <c r="L6" s="22"/>
      <c r="M6" s="22"/>
      <c r="N6" s="24"/>
      <c r="O6" s="25"/>
      <c r="P6" s="24" t="n">
        <v>4818</v>
      </c>
      <c r="Q6" s="25" t="n">
        <v>2.71</v>
      </c>
      <c r="R6" s="23"/>
      <c r="S6" s="20" t="s">
        <v>273</v>
      </c>
      <c r="T6" s="23" t="s">
        <v>274</v>
      </c>
      <c r="U6" s="23" t="s">
        <v>275</v>
      </c>
      <c r="V6" s="20" t="s">
        <v>276</v>
      </c>
      <c r="W6" s="23" t="s">
        <v>277</v>
      </c>
      <c r="X6" s="23" t="s">
        <v>278</v>
      </c>
    </row>
    <row r="7" customFormat="false" ht="85.5" hidden="false" customHeight="true" outlineLevel="0" collapsed="false">
      <c r="A7" s="49" t="s">
        <v>168</v>
      </c>
      <c r="B7" s="50" t="s">
        <v>169</v>
      </c>
      <c r="C7" s="51" t="s">
        <v>170</v>
      </c>
      <c r="D7" s="52" t="n">
        <v>92</v>
      </c>
      <c r="E7" s="51" t="s">
        <v>171</v>
      </c>
      <c r="F7" s="53" t="s">
        <v>172</v>
      </c>
      <c r="G7" s="53" t="s">
        <v>173</v>
      </c>
      <c r="H7" s="52" t="n">
        <v>655</v>
      </c>
      <c r="I7" s="53"/>
      <c r="J7" s="50" t="s">
        <v>163</v>
      </c>
      <c r="K7" s="53" t="s">
        <v>164</v>
      </c>
      <c r="L7" s="52" t="n">
        <v>30</v>
      </c>
      <c r="M7" s="52" t="n">
        <v>1095</v>
      </c>
      <c r="N7" s="54" t="n">
        <v>1400</v>
      </c>
      <c r="O7" s="55" t="n">
        <v>2.14</v>
      </c>
      <c r="P7" s="54" t="n">
        <v>3235</v>
      </c>
      <c r="Q7" s="55" t="n">
        <v>4.94</v>
      </c>
      <c r="R7" s="50" t="s">
        <v>279</v>
      </c>
      <c r="S7" s="51" t="s">
        <v>280</v>
      </c>
      <c r="T7" s="50" t="s">
        <v>266</v>
      </c>
      <c r="U7" s="50" t="s">
        <v>281</v>
      </c>
      <c r="V7" s="51" t="s">
        <v>282</v>
      </c>
      <c r="W7" s="50" t="s">
        <v>283</v>
      </c>
      <c r="X7" s="50" t="s">
        <v>284</v>
      </c>
    </row>
    <row r="8" customFormat="false" ht="85.5" hidden="false" customHeight="true" outlineLevel="0" collapsed="false">
      <c r="A8" s="18" t="s">
        <v>208</v>
      </c>
      <c r="B8" s="23" t="s">
        <v>169</v>
      </c>
      <c r="C8" s="20" t="s">
        <v>170</v>
      </c>
      <c r="D8" s="22" t="n">
        <v>92</v>
      </c>
      <c r="E8" s="20" t="s">
        <v>209</v>
      </c>
      <c r="F8" s="21" t="s">
        <v>172</v>
      </c>
      <c r="G8" s="21"/>
      <c r="H8" s="22" t="n">
        <v>417</v>
      </c>
      <c r="I8" s="21" t="s">
        <v>285</v>
      </c>
      <c r="J8" s="23" t="s">
        <v>163</v>
      </c>
      <c r="K8" s="21" t="s">
        <v>182</v>
      </c>
      <c r="L8" s="22" t="n">
        <v>20</v>
      </c>
      <c r="M8" s="22" t="n">
        <v>1000</v>
      </c>
      <c r="N8" s="24" t="n">
        <v>900</v>
      </c>
      <c r="O8" s="25" t="n">
        <v>2.16</v>
      </c>
      <c r="P8" s="24"/>
      <c r="Q8" s="25"/>
      <c r="R8" s="23" t="s">
        <v>279</v>
      </c>
      <c r="S8" s="20" t="s">
        <v>286</v>
      </c>
      <c r="T8" s="23" t="s">
        <v>266</v>
      </c>
      <c r="U8" s="23" t="s">
        <v>281</v>
      </c>
      <c r="V8" s="20" t="s">
        <v>282</v>
      </c>
      <c r="W8" s="23" t="s">
        <v>283</v>
      </c>
      <c r="X8" s="23" t="s">
        <v>287</v>
      </c>
    </row>
    <row r="9" customFormat="false" ht="85.5" hidden="false" customHeight="true" outlineLevel="0" collapsed="false">
      <c r="A9" s="49" t="s">
        <v>223</v>
      </c>
      <c r="B9" s="50" t="s">
        <v>224</v>
      </c>
      <c r="C9" s="51" t="s">
        <v>288</v>
      </c>
      <c r="D9" s="52" t="n">
        <v>97</v>
      </c>
      <c r="E9" s="51" t="s">
        <v>289</v>
      </c>
      <c r="F9" s="53" t="s">
        <v>172</v>
      </c>
      <c r="G9" s="53"/>
      <c r="H9" s="52" t="n">
        <v>868</v>
      </c>
      <c r="I9" s="53"/>
      <c r="J9" s="50" t="s">
        <v>181</v>
      </c>
      <c r="K9" s="53" t="s">
        <v>164</v>
      </c>
      <c r="L9" s="52"/>
      <c r="M9" s="52" t="n">
        <v>3351</v>
      </c>
      <c r="N9" s="54" t="n">
        <v>2900</v>
      </c>
      <c r="O9" s="55" t="n">
        <v>3.34</v>
      </c>
      <c r="P9" s="54"/>
      <c r="Q9" s="55"/>
      <c r="R9" s="50" t="s">
        <v>290</v>
      </c>
      <c r="S9" s="51" t="s">
        <v>291</v>
      </c>
      <c r="T9" s="50" t="s">
        <v>266</v>
      </c>
      <c r="U9" s="50" t="s">
        <v>292</v>
      </c>
      <c r="V9" s="51" t="s">
        <v>293</v>
      </c>
      <c r="W9" s="50" t="s">
        <v>283</v>
      </c>
      <c r="X9" s="50" t="s">
        <v>294</v>
      </c>
    </row>
    <row r="10" customFormat="false" ht="85.5" hidden="false" customHeight="true" outlineLevel="0" collapsed="false">
      <c r="A10" s="18" t="s">
        <v>177</v>
      </c>
      <c r="B10" s="23" t="s">
        <v>178</v>
      </c>
      <c r="C10" s="20" t="s">
        <v>179</v>
      </c>
      <c r="D10" s="22" t="n">
        <v>106</v>
      </c>
      <c r="E10" s="20" t="s">
        <v>180</v>
      </c>
      <c r="F10" s="21" t="s">
        <v>172</v>
      </c>
      <c r="G10" s="21" t="s">
        <v>173</v>
      </c>
      <c r="H10" s="22" t="n">
        <v>417</v>
      </c>
      <c r="I10" s="21"/>
      <c r="J10" s="23" t="s">
        <v>181</v>
      </c>
      <c r="K10" s="21" t="s">
        <v>182</v>
      </c>
      <c r="L10" s="22" t="n">
        <v>11</v>
      </c>
      <c r="M10" s="22" t="n">
        <v>6000</v>
      </c>
      <c r="N10" s="24" t="n">
        <v>900</v>
      </c>
      <c r="O10" s="25" t="n">
        <v>2.16</v>
      </c>
      <c r="P10" s="24"/>
      <c r="Q10" s="25"/>
      <c r="R10" s="23"/>
      <c r="S10" s="20" t="s">
        <v>295</v>
      </c>
      <c r="T10" s="23" t="s">
        <v>296</v>
      </c>
      <c r="U10" s="23"/>
      <c r="V10" s="20" t="s">
        <v>297</v>
      </c>
      <c r="W10" s="23" t="s">
        <v>268</v>
      </c>
      <c r="X10" s="23" t="s">
        <v>298</v>
      </c>
    </row>
    <row r="11" customFormat="false" ht="85.5" hidden="false" customHeight="true" outlineLevel="0" collapsed="false">
      <c r="A11" s="49" t="s">
        <v>194</v>
      </c>
      <c r="B11" s="50" t="s">
        <v>195</v>
      </c>
      <c r="C11" s="51" t="s">
        <v>196</v>
      </c>
      <c r="D11" s="52" t="n">
        <v>109</v>
      </c>
      <c r="E11" s="51" t="s">
        <v>197</v>
      </c>
      <c r="F11" s="53" t="s">
        <v>172</v>
      </c>
      <c r="G11" s="53"/>
      <c r="H11" s="52" t="n">
        <v>215</v>
      </c>
      <c r="I11" s="53" t="s">
        <v>299</v>
      </c>
      <c r="J11" s="50" t="s">
        <v>198</v>
      </c>
      <c r="K11" s="53" t="s">
        <v>182</v>
      </c>
      <c r="L11" s="52" t="n">
        <v>20</v>
      </c>
      <c r="M11" s="52" t="n">
        <v>8000</v>
      </c>
      <c r="N11" s="54"/>
      <c r="O11" s="55"/>
      <c r="P11" s="54"/>
      <c r="Q11" s="55"/>
      <c r="R11" s="50"/>
      <c r="S11" s="51" t="s">
        <v>300</v>
      </c>
      <c r="T11" s="50" t="s">
        <v>301</v>
      </c>
      <c r="U11" s="50"/>
      <c r="V11" s="51" t="s">
        <v>302</v>
      </c>
      <c r="W11" s="50" t="s">
        <v>268</v>
      </c>
      <c r="X11" s="50" t="s">
        <v>303</v>
      </c>
    </row>
    <row r="12" customFormat="false" ht="85.5" hidden="false" customHeight="true" outlineLevel="0" collapsed="false">
      <c r="A12" s="18" t="s">
        <v>228</v>
      </c>
      <c r="B12" s="23" t="s">
        <v>229</v>
      </c>
      <c r="C12" s="20" t="s">
        <v>304</v>
      </c>
      <c r="D12" s="22" t="n">
        <v>139</v>
      </c>
      <c r="E12" s="20" t="s">
        <v>305</v>
      </c>
      <c r="F12" s="21" t="s">
        <v>172</v>
      </c>
      <c r="G12" s="21"/>
      <c r="H12" s="22" t="n">
        <v>1122</v>
      </c>
      <c r="I12" s="21" t="s">
        <v>306</v>
      </c>
      <c r="J12" s="23" t="s">
        <v>163</v>
      </c>
      <c r="K12" s="21" t="s">
        <v>182</v>
      </c>
      <c r="L12" s="22" t="n">
        <v>15</v>
      </c>
      <c r="M12" s="22" t="n">
        <v>750</v>
      </c>
      <c r="N12" s="24" t="n">
        <v>1850</v>
      </c>
      <c r="O12" s="25" t="n">
        <v>1.65</v>
      </c>
      <c r="P12" s="24"/>
      <c r="Q12" s="25"/>
      <c r="R12" s="23"/>
      <c r="S12" s="20" t="s">
        <v>307</v>
      </c>
      <c r="T12" s="23" t="s">
        <v>308</v>
      </c>
      <c r="U12" s="23" t="s">
        <v>309</v>
      </c>
      <c r="V12" s="20" t="s">
        <v>310</v>
      </c>
      <c r="W12" s="23" t="s">
        <v>277</v>
      </c>
      <c r="X12" s="23" t="s">
        <v>311</v>
      </c>
    </row>
    <row r="13" customFormat="false" ht="85.5" hidden="false" customHeight="true" outlineLevel="0" collapsed="false">
      <c r="A13" s="49" t="s">
        <v>202</v>
      </c>
      <c r="B13" s="50" t="s">
        <v>178</v>
      </c>
      <c r="C13" s="51" t="s">
        <v>203</v>
      </c>
      <c r="D13" s="52" t="n">
        <v>153</v>
      </c>
      <c r="E13" s="51" t="s">
        <v>204</v>
      </c>
      <c r="F13" s="53" t="s">
        <v>172</v>
      </c>
      <c r="G13" s="53" t="s">
        <v>173</v>
      </c>
      <c r="H13" s="52" t="n">
        <v>758</v>
      </c>
      <c r="I13" s="53" t="s">
        <v>312</v>
      </c>
      <c r="J13" s="50" t="s">
        <v>163</v>
      </c>
      <c r="K13" s="53" t="s">
        <v>182</v>
      </c>
      <c r="L13" s="52" t="n">
        <v>14</v>
      </c>
      <c r="M13" s="52" t="n">
        <v>6033</v>
      </c>
      <c r="N13" s="54" t="n">
        <v>1400</v>
      </c>
      <c r="O13" s="55" t="n">
        <v>1.85</v>
      </c>
      <c r="P13" s="54"/>
      <c r="Q13" s="55"/>
      <c r="R13" s="50"/>
      <c r="S13" s="51" t="s">
        <v>313</v>
      </c>
      <c r="T13" s="50" t="s">
        <v>314</v>
      </c>
      <c r="U13" s="50"/>
      <c r="V13" s="51" t="s">
        <v>297</v>
      </c>
      <c r="W13" s="50" t="s">
        <v>268</v>
      </c>
      <c r="X13" s="50" t="s">
        <v>315</v>
      </c>
    </row>
    <row r="14" customFormat="false" ht="85.5" hidden="false" customHeight="true" outlineLevel="0" collapsed="false">
      <c r="A14" s="18" t="s">
        <v>158</v>
      </c>
      <c r="B14" s="23" t="s">
        <v>159</v>
      </c>
      <c r="C14" s="20" t="s">
        <v>160</v>
      </c>
      <c r="D14" s="22" t="n">
        <v>146</v>
      </c>
      <c r="E14" s="20" t="s">
        <v>161</v>
      </c>
      <c r="F14" s="21" t="s">
        <v>162</v>
      </c>
      <c r="G14" s="21"/>
      <c r="H14" s="22" t="n">
        <v>367</v>
      </c>
      <c r="I14" s="21" t="s">
        <v>316</v>
      </c>
      <c r="J14" s="23" t="s">
        <v>163</v>
      </c>
      <c r="K14" s="21" t="s">
        <v>164</v>
      </c>
      <c r="L14" s="22"/>
      <c r="M14" s="22" t="n">
        <v>4700</v>
      </c>
      <c r="N14" s="24" t="n">
        <v>800</v>
      </c>
      <c r="O14" s="25" t="n">
        <v>2.18</v>
      </c>
      <c r="P14" s="24" t="n">
        <v>1287</v>
      </c>
      <c r="Q14" s="25" t="n">
        <v>3.51</v>
      </c>
      <c r="R14" s="23" t="s">
        <v>317</v>
      </c>
      <c r="S14" s="20" t="s">
        <v>318</v>
      </c>
      <c r="T14" s="23" t="s">
        <v>266</v>
      </c>
      <c r="U14" s="23" t="s">
        <v>319</v>
      </c>
      <c r="V14" s="20" t="s">
        <v>320</v>
      </c>
      <c r="W14" s="23" t="s">
        <v>283</v>
      </c>
      <c r="X14" s="23" t="s">
        <v>321</v>
      </c>
    </row>
    <row r="16" customFormat="false" ht="15" hidden="false" customHeight="false" outlineLevel="0" collapsed="false">
      <c r="B16" s="56" t="s">
        <v>322</v>
      </c>
      <c r="C16" s="56"/>
      <c r="D16" s="56"/>
      <c r="E16" s="56"/>
      <c r="F16" s="56"/>
      <c r="G16" s="56"/>
      <c r="H16" s="56"/>
      <c r="I16" s="56"/>
      <c r="J16" s="56"/>
      <c r="K16" s="56"/>
      <c r="L16" s="56"/>
    </row>
  </sheetData>
  <autoFilter ref="A4:X14"/>
  <mergeCells count="3">
    <mergeCell ref="A1:V1"/>
    <mergeCell ref="A2:V2"/>
    <mergeCell ref="B16:L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T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6"/>
    <col collapsed="false" customWidth="true" hidden="false" outlineLevel="0" max="4" min="4" style="0" width="34"/>
    <col collapsed="false" customWidth="true" hidden="false" outlineLevel="0" max="5" min="5" style="0" width="36"/>
    <col collapsed="false" customWidth="true" hidden="false" outlineLevel="0" max="6" min="6" style="0" width="24"/>
    <col collapsed="false" customWidth="true" hidden="false" outlineLevel="0" max="7" min="7" style="0" width="20"/>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13"/>
    <col collapsed="false" customWidth="true" hidden="false" outlineLevel="0" max="12" min="12" style="0" width="10"/>
    <col collapsed="false" customWidth="true" hidden="false" outlineLevel="0" max="13" min="13" style="0" width="13"/>
    <col collapsed="false" customWidth="true" hidden="false" outlineLevel="0" max="15" min="14" style="0" width="18"/>
    <col collapsed="false" customWidth="true" hidden="false" outlineLevel="0" max="16" min="16" style="0" width="78"/>
    <col collapsed="false" customWidth="true" hidden="false" outlineLevel="0" max="17" min="17" style="0" width="58"/>
    <col collapsed="false" customWidth="true" hidden="false" outlineLevel="0" max="18" min="18" style="0" width="52"/>
    <col collapsed="false" customWidth="true" hidden="false" outlineLevel="0" max="20" min="19" style="0" width="30"/>
  </cols>
  <sheetData>
    <row r="1" customFormat="false" ht="30" hidden="false" customHeight="true" outlineLevel="0" collapsed="false">
      <c r="A1" s="1" t="s">
        <v>323</v>
      </c>
      <c r="B1" s="1"/>
      <c r="C1" s="1"/>
      <c r="D1" s="1"/>
      <c r="E1" s="1"/>
      <c r="F1" s="1"/>
      <c r="G1" s="1"/>
      <c r="H1" s="1"/>
      <c r="I1" s="1"/>
      <c r="J1" s="1"/>
      <c r="K1" s="1"/>
      <c r="L1" s="1"/>
      <c r="M1" s="1"/>
      <c r="N1" s="1"/>
      <c r="O1" s="1"/>
      <c r="P1" s="1"/>
      <c r="Q1" s="1"/>
      <c r="R1" s="1"/>
      <c r="S1" s="1"/>
      <c r="T1" s="1"/>
    </row>
    <row r="2" customFormat="false" ht="19.5" hidden="false" customHeight="true" outlineLevel="0" collapsed="false">
      <c r="A2" s="2" t="s">
        <v>324</v>
      </c>
      <c r="B2" s="2"/>
      <c r="C2" s="2"/>
      <c r="D2" s="2"/>
      <c r="E2" s="2"/>
      <c r="F2" s="2"/>
      <c r="G2" s="2"/>
      <c r="H2" s="2"/>
      <c r="I2" s="2"/>
      <c r="J2" s="2"/>
      <c r="K2" s="2"/>
      <c r="L2" s="2"/>
      <c r="M2" s="2"/>
      <c r="N2" s="2"/>
      <c r="O2" s="2"/>
      <c r="P2" s="2"/>
      <c r="Q2" s="2"/>
      <c r="R2" s="2"/>
      <c r="S2" s="2"/>
      <c r="T2" s="2"/>
    </row>
    <row r="4" customFormat="false" ht="33.75" hidden="false" customHeight="true" outlineLevel="0" collapsed="false">
      <c r="A4" s="8" t="s">
        <v>130</v>
      </c>
      <c r="B4" s="8" t="s">
        <v>325</v>
      </c>
      <c r="C4" s="8" t="s">
        <v>262</v>
      </c>
      <c r="D4" s="8" t="s">
        <v>326</v>
      </c>
      <c r="E4" s="8" t="s">
        <v>261</v>
      </c>
      <c r="F4" s="8" t="s">
        <v>327</v>
      </c>
      <c r="G4" s="8" t="s">
        <v>328</v>
      </c>
      <c r="H4" s="8" t="s">
        <v>329</v>
      </c>
      <c r="I4" s="8" t="s">
        <v>330</v>
      </c>
      <c r="J4" s="8" t="s">
        <v>331</v>
      </c>
      <c r="K4" s="8" t="s">
        <v>332</v>
      </c>
      <c r="L4" s="8" t="s">
        <v>333</v>
      </c>
      <c r="M4" s="8" t="s">
        <v>334</v>
      </c>
      <c r="N4" s="8" t="s">
        <v>335</v>
      </c>
      <c r="O4" s="8" t="s">
        <v>336</v>
      </c>
      <c r="P4" s="8" t="s">
        <v>337</v>
      </c>
      <c r="Q4" s="8" t="s">
        <v>338</v>
      </c>
      <c r="R4" s="8" t="s">
        <v>339</v>
      </c>
      <c r="S4" s="8" t="s">
        <v>340</v>
      </c>
      <c r="T4" s="8" t="s">
        <v>341</v>
      </c>
    </row>
    <row r="5" customFormat="false" ht="117.75" hidden="false" customHeight="true" outlineLevel="0" collapsed="false">
      <c r="A5" s="57" t="s">
        <v>159</v>
      </c>
      <c r="B5" s="21" t="s">
        <v>342</v>
      </c>
      <c r="C5" s="20" t="s">
        <v>320</v>
      </c>
      <c r="D5" s="23"/>
      <c r="E5" s="23" t="s">
        <v>319</v>
      </c>
      <c r="F5" s="23" t="s">
        <v>266</v>
      </c>
      <c r="G5" s="20" t="s">
        <v>343</v>
      </c>
      <c r="H5" s="21" t="s">
        <v>344</v>
      </c>
      <c r="I5" s="21" t="s">
        <v>158</v>
      </c>
      <c r="J5" s="21" t="n">
        <v>0</v>
      </c>
      <c r="K5" s="21"/>
      <c r="L5" s="21" t="str">
        <f aca="true">IF(K5="","never",TODAY()-DATEVALUE(K5))</f>
        <v>never</v>
      </c>
      <c r="M5" s="58" t="str">
        <f aca="false">IF(K5="","today",DATEVALUE(K5)+3)</f>
        <v>today</v>
      </c>
      <c r="N5" s="59" t="s">
        <v>345</v>
      </c>
      <c r="O5" s="59" t="s">
        <v>346</v>
      </c>
      <c r="P5" s="23"/>
      <c r="Q5" s="23" t="s">
        <v>347</v>
      </c>
      <c r="R5" s="23" t="s">
        <v>348</v>
      </c>
      <c r="S5" s="60"/>
      <c r="T5" s="60"/>
    </row>
    <row r="6" customFormat="false" ht="117.75" hidden="false" customHeight="true" outlineLevel="0" collapsed="false">
      <c r="A6" s="57" t="s">
        <v>178</v>
      </c>
      <c r="B6" s="21" t="s">
        <v>349</v>
      </c>
      <c r="C6" s="20" t="s">
        <v>297</v>
      </c>
      <c r="D6" s="23" t="s">
        <v>350</v>
      </c>
      <c r="E6" s="23"/>
      <c r="F6" s="23" t="s">
        <v>266</v>
      </c>
      <c r="G6" s="20" t="s">
        <v>351</v>
      </c>
      <c r="H6" s="21" t="s">
        <v>344</v>
      </c>
      <c r="I6" s="21" t="s">
        <v>352</v>
      </c>
      <c r="J6" s="21" t="n">
        <v>2</v>
      </c>
      <c r="K6" s="21" t="s">
        <v>353</v>
      </c>
      <c r="L6" s="21" t="n">
        <f aca="true">IF(K6="","never",TODAY()-DATEVALUE(K6))</f>
        <v>15</v>
      </c>
      <c r="M6" s="58" t="n">
        <f aca="false">IF(K6="","today",DATEVALUE(K6)+3)</f>
        <v>46261</v>
      </c>
      <c r="N6" s="59" t="s">
        <v>354</v>
      </c>
      <c r="O6" s="59" t="s">
        <v>355</v>
      </c>
      <c r="P6" s="23" t="s">
        <v>356</v>
      </c>
      <c r="Q6" s="23" t="s">
        <v>357</v>
      </c>
      <c r="R6" s="23" t="s">
        <v>358</v>
      </c>
      <c r="S6" s="60"/>
      <c r="T6" s="60"/>
    </row>
    <row r="7" customFormat="false" ht="117.75" hidden="false" customHeight="true" outlineLevel="0" collapsed="false">
      <c r="A7" s="57" t="s">
        <v>187</v>
      </c>
      <c r="B7" s="21" t="s">
        <v>359</v>
      </c>
      <c r="C7" s="20" t="s">
        <v>267</v>
      </c>
      <c r="D7" s="23"/>
      <c r="E7" s="23"/>
      <c r="F7" s="23" t="s">
        <v>266</v>
      </c>
      <c r="G7" s="20" t="s">
        <v>360</v>
      </c>
      <c r="H7" s="21" t="s">
        <v>361</v>
      </c>
      <c r="I7" s="21" t="s">
        <v>186</v>
      </c>
      <c r="J7" s="21" t="n">
        <v>2</v>
      </c>
      <c r="K7" s="21" t="s">
        <v>353</v>
      </c>
      <c r="L7" s="21" t="n">
        <f aca="true">IF(K7="","never",TODAY()-DATEVALUE(K7))</f>
        <v>15</v>
      </c>
      <c r="M7" s="58" t="n">
        <f aca="false">IF(K7="","today",DATEVALUE(K7)+3)</f>
        <v>46261</v>
      </c>
      <c r="N7" s="59" t="s">
        <v>362</v>
      </c>
      <c r="O7" s="59" t="s">
        <v>355</v>
      </c>
      <c r="P7" s="23" t="s">
        <v>363</v>
      </c>
      <c r="Q7" s="23" t="s">
        <v>364</v>
      </c>
      <c r="R7" s="23" t="s">
        <v>365</v>
      </c>
      <c r="S7" s="60"/>
      <c r="T7" s="60"/>
    </row>
    <row r="8" customFormat="false" ht="117.75" hidden="false" customHeight="true" outlineLevel="0" collapsed="false">
      <c r="A8" s="57" t="s">
        <v>195</v>
      </c>
      <c r="B8" s="21" t="s">
        <v>366</v>
      </c>
      <c r="C8" s="20" t="s">
        <v>302</v>
      </c>
      <c r="D8" s="23"/>
      <c r="E8" s="23"/>
      <c r="F8" s="23" t="s">
        <v>301</v>
      </c>
      <c r="G8" s="20" t="s">
        <v>367</v>
      </c>
      <c r="H8" s="21" t="s">
        <v>361</v>
      </c>
      <c r="I8" s="21" t="s">
        <v>194</v>
      </c>
      <c r="J8" s="21" t="n">
        <v>2</v>
      </c>
      <c r="K8" s="21" t="s">
        <v>353</v>
      </c>
      <c r="L8" s="21" t="n">
        <f aca="true">IF(K8="","never",TODAY()-DATEVALUE(K8))</f>
        <v>15</v>
      </c>
      <c r="M8" s="58" t="n">
        <f aca="false">IF(K8="","today",DATEVALUE(K8)+3)</f>
        <v>46261</v>
      </c>
      <c r="N8" s="59" t="s">
        <v>345</v>
      </c>
      <c r="O8" s="59" t="s">
        <v>368</v>
      </c>
      <c r="P8" s="23" t="s">
        <v>369</v>
      </c>
      <c r="Q8" s="23" t="s">
        <v>370</v>
      </c>
      <c r="R8" s="23" t="s">
        <v>371</v>
      </c>
      <c r="S8" s="60"/>
      <c r="T8" s="60"/>
    </row>
    <row r="9" customFormat="false" ht="117.75" hidden="false" customHeight="true" outlineLevel="0" collapsed="false">
      <c r="A9" s="57" t="s">
        <v>372</v>
      </c>
      <c r="B9" s="21" t="s">
        <v>373</v>
      </c>
      <c r="C9" s="20" t="s">
        <v>282</v>
      </c>
      <c r="D9" s="23"/>
      <c r="E9" s="23" t="s">
        <v>281</v>
      </c>
      <c r="F9" s="23" t="s">
        <v>266</v>
      </c>
      <c r="G9" s="20" t="s">
        <v>374</v>
      </c>
      <c r="H9" s="21" t="s">
        <v>344</v>
      </c>
      <c r="I9" s="21" t="s">
        <v>375</v>
      </c>
      <c r="J9" s="21" t="n">
        <v>3</v>
      </c>
      <c r="K9" s="21" t="s">
        <v>376</v>
      </c>
      <c r="L9" s="21" t="n">
        <f aca="true">IF(K9="","never",TODAY()-DATEVALUE(K9))</f>
        <v>0</v>
      </c>
      <c r="M9" s="58" t="n">
        <f aca="false">IF(K9="","today",DATEVALUE(K9)+3)</f>
        <v>46276</v>
      </c>
      <c r="N9" s="59" t="s">
        <v>377</v>
      </c>
      <c r="O9" s="59" t="s">
        <v>378</v>
      </c>
      <c r="P9" s="23" t="s">
        <v>379</v>
      </c>
      <c r="Q9" s="23" t="s">
        <v>380</v>
      </c>
      <c r="R9" s="23" t="s">
        <v>381</v>
      </c>
      <c r="S9" s="60"/>
      <c r="T9" s="60"/>
    </row>
    <row r="10" customFormat="false" ht="117.75" hidden="false" customHeight="true" outlineLevel="0" collapsed="false">
      <c r="A10" s="57" t="s">
        <v>219</v>
      </c>
      <c r="B10" s="21" t="s">
        <v>382</v>
      </c>
      <c r="C10" s="20" t="s">
        <v>276</v>
      </c>
      <c r="D10" s="23"/>
      <c r="E10" s="23" t="s">
        <v>275</v>
      </c>
      <c r="F10" s="23" t="s">
        <v>274</v>
      </c>
      <c r="G10" s="20" t="s">
        <v>383</v>
      </c>
      <c r="H10" s="21" t="s">
        <v>361</v>
      </c>
      <c r="I10" s="21" t="s">
        <v>218</v>
      </c>
      <c r="J10" s="21" t="n">
        <v>0</v>
      </c>
      <c r="K10" s="21"/>
      <c r="L10" s="21" t="str">
        <f aca="true">IF(K10="","never",TODAY()-DATEVALUE(K10))</f>
        <v>never</v>
      </c>
      <c r="M10" s="58" t="str">
        <f aca="false">IF(K10="","today",DATEVALUE(K10)+3)</f>
        <v>today</v>
      </c>
      <c r="N10" s="59" t="s">
        <v>384</v>
      </c>
      <c r="O10" s="59" t="s">
        <v>385</v>
      </c>
      <c r="P10" s="23"/>
      <c r="Q10" s="23" t="s">
        <v>386</v>
      </c>
      <c r="R10" s="23" t="s">
        <v>387</v>
      </c>
      <c r="S10" s="60"/>
      <c r="T10" s="60"/>
    </row>
    <row r="11" customFormat="false" ht="117.75" hidden="false" customHeight="true" outlineLevel="0" collapsed="false">
      <c r="A11" s="57" t="s">
        <v>229</v>
      </c>
      <c r="B11" s="21" t="s">
        <v>382</v>
      </c>
      <c r="C11" s="20" t="s">
        <v>310</v>
      </c>
      <c r="D11" s="23"/>
      <c r="E11" s="23" t="s">
        <v>309</v>
      </c>
      <c r="F11" s="23" t="s">
        <v>388</v>
      </c>
      <c r="G11" s="20" t="s">
        <v>389</v>
      </c>
      <c r="H11" s="21" t="s">
        <v>344</v>
      </c>
      <c r="I11" s="21" t="s">
        <v>228</v>
      </c>
      <c r="J11" s="21" t="n">
        <v>0</v>
      </c>
      <c r="K11" s="21"/>
      <c r="L11" s="21" t="str">
        <f aca="true">IF(K11="","never",TODAY()-DATEVALUE(K11))</f>
        <v>never</v>
      </c>
      <c r="M11" s="58" t="str">
        <f aca="false">IF(K11="","today",DATEVALUE(K11)+3)</f>
        <v>today</v>
      </c>
      <c r="N11" s="59" t="s">
        <v>390</v>
      </c>
      <c r="O11" s="59" t="s">
        <v>385</v>
      </c>
      <c r="P11" s="23"/>
      <c r="Q11" s="23" t="s">
        <v>391</v>
      </c>
      <c r="R11" s="23" t="s">
        <v>392</v>
      </c>
      <c r="S11" s="60"/>
      <c r="T11" s="60"/>
    </row>
    <row r="12" customFormat="false" ht="117.75" hidden="false" customHeight="true" outlineLevel="0" collapsed="false">
      <c r="A12" s="57" t="s">
        <v>224</v>
      </c>
      <c r="B12" s="21" t="s">
        <v>393</v>
      </c>
      <c r="C12" s="20" t="s">
        <v>293</v>
      </c>
      <c r="D12" s="23"/>
      <c r="E12" s="23" t="s">
        <v>292</v>
      </c>
      <c r="F12" s="23" t="s">
        <v>266</v>
      </c>
      <c r="G12" s="20" t="s">
        <v>394</v>
      </c>
      <c r="H12" s="21" t="s">
        <v>344</v>
      </c>
      <c r="I12" s="21" t="s">
        <v>223</v>
      </c>
      <c r="J12" s="21" t="n">
        <v>0</v>
      </c>
      <c r="K12" s="21"/>
      <c r="L12" s="21" t="str">
        <f aca="true">IF(K12="","never",TODAY()-DATEVALUE(K12))</f>
        <v>never</v>
      </c>
      <c r="M12" s="58" t="str">
        <f aca="false">IF(K12="","today",DATEVALUE(K12)+3)</f>
        <v>today</v>
      </c>
      <c r="N12" s="59" t="s">
        <v>395</v>
      </c>
      <c r="O12" s="59" t="s">
        <v>385</v>
      </c>
      <c r="P12" s="23"/>
      <c r="Q12" s="23" t="s">
        <v>396</v>
      </c>
      <c r="R12" s="23" t="s">
        <v>397</v>
      </c>
      <c r="S12" s="60"/>
      <c r="T12" s="60"/>
    </row>
    <row r="14" customFormat="false" ht="19.5" hidden="false" customHeight="true" outlineLevel="0" collapsed="false">
      <c r="A14" s="61" t="s">
        <v>398</v>
      </c>
      <c r="B14" s="61"/>
      <c r="C14" s="61"/>
      <c r="D14" s="61"/>
      <c r="E14" s="61"/>
      <c r="F14" s="61"/>
      <c r="G14" s="61"/>
      <c r="H14" s="61"/>
      <c r="I14" s="61"/>
      <c r="J14" s="61"/>
      <c r="K14" s="61"/>
      <c r="L14" s="61"/>
      <c r="M14" s="61"/>
      <c r="N14" s="61"/>
      <c r="O14" s="61"/>
      <c r="P14" s="61"/>
      <c r="Q14" s="61"/>
      <c r="R14" s="61"/>
      <c r="S14" s="61"/>
      <c r="T14" s="61"/>
    </row>
    <row r="15" customFormat="false" ht="33.75" hidden="false" customHeight="true" outlineLevel="0" collapsed="false">
      <c r="A15" s="29" t="s">
        <v>130</v>
      </c>
      <c r="B15" s="29" t="s">
        <v>399</v>
      </c>
      <c r="C15" s="29" t="s">
        <v>400</v>
      </c>
      <c r="D15" s="29" t="s">
        <v>401</v>
      </c>
    </row>
    <row r="16" customFormat="false" ht="73.5" hidden="false" customHeight="true" outlineLevel="0" collapsed="false">
      <c r="A16" s="62" t="s">
        <v>402</v>
      </c>
      <c r="B16" s="34" t="s">
        <v>403</v>
      </c>
      <c r="C16" s="35" t="s">
        <v>404</v>
      </c>
      <c r="D16" s="35"/>
      <c r="E16" s="35"/>
      <c r="F16" s="35"/>
      <c r="G16" s="35"/>
      <c r="H16" s="35"/>
      <c r="I16" s="35"/>
      <c r="J16" s="35"/>
      <c r="K16" s="35"/>
      <c r="L16" s="35"/>
      <c r="M16" s="35"/>
      <c r="N16" s="35"/>
      <c r="O16" s="35"/>
      <c r="P16" s="35"/>
      <c r="Q16" s="35"/>
      <c r="R16" s="35"/>
      <c r="S16" s="35"/>
      <c r="T16" s="35"/>
    </row>
    <row r="17" customFormat="false" ht="73.5" hidden="false" customHeight="true" outlineLevel="0" collapsed="false">
      <c r="A17" s="62" t="s">
        <v>405</v>
      </c>
      <c r="B17" s="34" t="s">
        <v>406</v>
      </c>
      <c r="C17" s="35" t="s">
        <v>407</v>
      </c>
      <c r="D17" s="35"/>
      <c r="E17" s="35"/>
      <c r="F17" s="35"/>
      <c r="G17" s="35"/>
      <c r="H17" s="35"/>
      <c r="I17" s="35"/>
      <c r="J17" s="35"/>
      <c r="K17" s="35"/>
      <c r="L17" s="35"/>
      <c r="M17" s="35"/>
      <c r="N17" s="35"/>
      <c r="O17" s="35"/>
      <c r="P17" s="35"/>
      <c r="Q17" s="35"/>
      <c r="R17" s="35"/>
      <c r="S17" s="35"/>
      <c r="T17" s="35"/>
    </row>
    <row r="18" customFormat="false" ht="73.5" hidden="false" customHeight="true" outlineLevel="0" collapsed="false">
      <c r="A18" s="62" t="s">
        <v>408</v>
      </c>
      <c r="B18" s="34" t="s">
        <v>409</v>
      </c>
      <c r="C18" s="35" t="s">
        <v>410</v>
      </c>
      <c r="D18" s="35"/>
      <c r="E18" s="35"/>
      <c r="F18" s="35"/>
      <c r="G18" s="35"/>
      <c r="H18" s="35"/>
      <c r="I18" s="35"/>
      <c r="J18" s="35"/>
      <c r="K18" s="35"/>
      <c r="L18" s="35"/>
      <c r="M18" s="35"/>
      <c r="N18" s="35"/>
      <c r="O18" s="35"/>
      <c r="P18" s="35"/>
      <c r="Q18" s="35"/>
      <c r="R18" s="35"/>
      <c r="S18" s="35"/>
      <c r="T18" s="35"/>
    </row>
  </sheetData>
  <autoFilter ref="A4:T12"/>
  <mergeCells count="9">
    <mergeCell ref="A1:T1"/>
    <mergeCell ref="A2:T2"/>
    <mergeCell ref="A14:T14"/>
    <mergeCell ref="C16:P16"/>
    <mergeCell ref="Q16:T16"/>
    <mergeCell ref="C17:P17"/>
    <mergeCell ref="Q17:T17"/>
    <mergeCell ref="C18:P18"/>
    <mergeCell ref="Q18:T18"/>
  </mergeCells>
  <conditionalFormatting sqref="O5:O12">
    <cfRule type="expression" priority="2" aboveAverage="0" equalAverage="0" bottom="0" percent="0" rank="0" text="" dxfId="17">
      <formula>ISNUMBER(SEARCH("180",O5))</formula>
    </cfRule>
  </conditionalFormatting>
  <conditionalFormatting sqref="M5:M12">
    <cfRule type="cellIs" priority="3" operator="lessThanOrEqual" aboveAverage="0" equalAverage="0" bottom="0" percent="0" rank="0" text="" dxfId="17">
      <formula>TODAY()</formula>
    </cfRule>
  </conditionalFormatting>
  <conditionalFormatting sqref="B5:B12">
    <cfRule type="expression" priority="4" aboveAverage="0" equalAverage="0" bottom="0" percent="0" rank="0" text="" dxfId="22">
      <formula>ISNUMBER(SEARCH("HIGH",B5))</formula>
    </cfRule>
  </conditionalFormatting>
  <dataValidations count="2">
    <dataValidation allowBlank="true" errorStyle="stop" operator="between" showDropDown="false" showErrorMessage="false" showInputMessage="false" sqref="N5:N12" type="list">
      <formula1>"New,Contacted,Awaiting callback,Callback owed BY US,Setup packet sent,Approved to haul,Blocked - 180 day rule,Poor fit,Dead"</formula1>
      <formula2>0</formula2>
    </dataValidation>
    <dataValidation allowBlank="true" errorStyle="stop" operator="between" showDropDown="false" showErrorMessage="false" showInputMessage="false" sqref="O5:O12" type="list">
      <formula1>"UNKNOWN - never asked,No rule,30 days,60 days,90 days,180 days,Case by case"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M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30"/>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22"/>
    <col collapsed="false" customWidth="true" hidden="false" outlineLevel="0" max="8" min="8" style="0" width="10"/>
    <col collapsed="false" customWidth="true" hidden="false" outlineLevel="0" max="9" min="9" style="0" width="24"/>
    <col collapsed="false" customWidth="true" hidden="false" outlineLevel="0" max="10" min="10" style="0" width="72"/>
    <col collapsed="false" customWidth="true" hidden="false" outlineLevel="0" max="12" min="11" style="0" width="40"/>
    <col collapsed="false" customWidth="true" hidden="false" outlineLevel="0" max="13" min="13" style="0" width="13"/>
  </cols>
  <sheetData>
    <row r="1" customFormat="false" ht="30" hidden="false" customHeight="true" outlineLevel="0" collapsed="false">
      <c r="A1" s="1" t="s">
        <v>411</v>
      </c>
      <c r="B1" s="1"/>
      <c r="C1" s="1"/>
      <c r="D1" s="1"/>
      <c r="E1" s="1"/>
      <c r="F1" s="1"/>
      <c r="G1" s="1"/>
      <c r="H1" s="1"/>
      <c r="I1" s="1"/>
      <c r="J1" s="1"/>
      <c r="K1" s="1"/>
      <c r="L1" s="1"/>
    </row>
    <row r="2" customFormat="false" ht="19.5" hidden="false" customHeight="true" outlineLevel="0" collapsed="false">
      <c r="A2" s="2" t="s">
        <v>412</v>
      </c>
      <c r="B2" s="2"/>
      <c r="C2" s="2"/>
      <c r="D2" s="2"/>
      <c r="E2" s="2"/>
      <c r="F2" s="2"/>
      <c r="G2" s="2"/>
      <c r="H2" s="2"/>
      <c r="I2" s="2"/>
      <c r="J2" s="2"/>
      <c r="K2" s="2"/>
      <c r="L2" s="2"/>
    </row>
    <row r="4" customFormat="false" ht="33.75" hidden="false" customHeight="true" outlineLevel="0" collapsed="false">
      <c r="A4" s="8" t="s">
        <v>413</v>
      </c>
      <c r="B4" s="8" t="s">
        <v>414</v>
      </c>
      <c r="C4" s="8" t="s">
        <v>130</v>
      </c>
      <c r="D4" s="8" t="s">
        <v>415</v>
      </c>
      <c r="E4" s="8" t="s">
        <v>416</v>
      </c>
      <c r="F4" s="8" t="s">
        <v>417</v>
      </c>
      <c r="G4" s="8" t="s">
        <v>418</v>
      </c>
      <c r="H4" s="8" t="s">
        <v>419</v>
      </c>
      <c r="I4" s="8" t="s">
        <v>420</v>
      </c>
      <c r="J4" s="8" t="s">
        <v>421</v>
      </c>
      <c r="K4" s="8" t="s">
        <v>422</v>
      </c>
      <c r="L4" s="8" t="s">
        <v>423</v>
      </c>
      <c r="M4" s="8" t="s">
        <v>424</v>
      </c>
    </row>
    <row r="5" customFormat="false" ht="61.5" hidden="false" customHeight="true" outlineLevel="0" collapsed="false">
      <c r="A5" s="21" t="s">
        <v>425</v>
      </c>
      <c r="B5" s="21"/>
      <c r="C5" s="57" t="s">
        <v>187</v>
      </c>
      <c r="D5" s="21"/>
      <c r="E5" s="21" t="s">
        <v>426</v>
      </c>
      <c r="F5" s="21" t="s">
        <v>262</v>
      </c>
      <c r="G5" s="23" t="s">
        <v>427</v>
      </c>
      <c r="H5" s="21" t="s">
        <v>428</v>
      </c>
      <c r="I5" s="23" t="s">
        <v>429</v>
      </c>
      <c r="J5" s="23" t="s">
        <v>430</v>
      </c>
      <c r="K5" s="23" t="s">
        <v>431</v>
      </c>
      <c r="L5" s="23" t="s">
        <v>432</v>
      </c>
      <c r="M5" s="21"/>
    </row>
    <row r="6" customFormat="false" ht="61.5" hidden="false" customHeight="true" outlineLevel="0" collapsed="false">
      <c r="A6" s="21" t="s">
        <v>353</v>
      </c>
      <c r="B6" s="21"/>
      <c r="C6" s="57" t="s">
        <v>405</v>
      </c>
      <c r="D6" s="21"/>
      <c r="E6" s="21" t="s">
        <v>426</v>
      </c>
      <c r="F6" s="21" t="s">
        <v>262</v>
      </c>
      <c r="G6" s="23" t="s">
        <v>433</v>
      </c>
      <c r="H6" s="21" t="s">
        <v>434</v>
      </c>
      <c r="I6" s="23" t="s">
        <v>429</v>
      </c>
      <c r="J6" s="23" t="s">
        <v>435</v>
      </c>
      <c r="K6" s="23" t="s">
        <v>436</v>
      </c>
      <c r="L6" s="23" t="s">
        <v>437</v>
      </c>
      <c r="M6" s="21"/>
    </row>
    <row r="7" customFormat="false" ht="61.5" hidden="false" customHeight="true" outlineLevel="0" collapsed="false">
      <c r="A7" s="21" t="s">
        <v>353</v>
      </c>
      <c r="B7" s="21"/>
      <c r="C7" s="57" t="s">
        <v>178</v>
      </c>
      <c r="D7" s="21"/>
      <c r="E7" s="21" t="s">
        <v>426</v>
      </c>
      <c r="F7" s="21" t="s">
        <v>262</v>
      </c>
      <c r="G7" s="23" t="s">
        <v>438</v>
      </c>
      <c r="H7" s="21" t="s">
        <v>439</v>
      </c>
      <c r="I7" s="23" t="s">
        <v>429</v>
      </c>
      <c r="J7" s="23" t="s">
        <v>440</v>
      </c>
      <c r="K7" s="23" t="s">
        <v>436</v>
      </c>
      <c r="L7" s="23" t="s">
        <v>441</v>
      </c>
      <c r="M7" s="21"/>
    </row>
    <row r="8" customFormat="false" ht="61.5" hidden="false" customHeight="true" outlineLevel="0" collapsed="false">
      <c r="A8" s="21" t="s">
        <v>353</v>
      </c>
      <c r="B8" s="21"/>
      <c r="C8" s="57" t="s">
        <v>195</v>
      </c>
      <c r="D8" s="21"/>
      <c r="E8" s="21" t="s">
        <v>426</v>
      </c>
      <c r="F8" s="21" t="s">
        <v>262</v>
      </c>
      <c r="G8" s="23" t="s">
        <v>442</v>
      </c>
      <c r="H8" s="21" t="s">
        <v>443</v>
      </c>
      <c r="I8" s="23" t="s">
        <v>444</v>
      </c>
      <c r="J8" s="23" t="s">
        <v>445</v>
      </c>
      <c r="K8" s="23" t="s">
        <v>446</v>
      </c>
      <c r="L8" s="23" t="s">
        <v>447</v>
      </c>
      <c r="M8" s="21"/>
    </row>
    <row r="9" customFormat="false" ht="61.5" hidden="false" customHeight="true" outlineLevel="0" collapsed="false">
      <c r="A9" s="21" t="s">
        <v>353</v>
      </c>
      <c r="B9" s="21"/>
      <c r="C9" s="57" t="s">
        <v>402</v>
      </c>
      <c r="D9" s="21"/>
      <c r="E9" s="21" t="s">
        <v>426</v>
      </c>
      <c r="F9" s="21" t="s">
        <v>262</v>
      </c>
      <c r="G9" s="23" t="s">
        <v>448</v>
      </c>
      <c r="H9" s="21" t="s">
        <v>449</v>
      </c>
      <c r="I9" s="63" t="s">
        <v>450</v>
      </c>
      <c r="J9" s="23" t="s">
        <v>451</v>
      </c>
      <c r="K9" s="23" t="s">
        <v>452</v>
      </c>
      <c r="L9" s="23" t="s">
        <v>453</v>
      </c>
      <c r="M9" s="21" t="s">
        <v>454</v>
      </c>
    </row>
    <row r="10" customFormat="false" ht="61.5" hidden="false" customHeight="true" outlineLevel="0" collapsed="false">
      <c r="A10" s="21" t="s">
        <v>353</v>
      </c>
      <c r="B10" s="21"/>
      <c r="C10" s="57" t="s">
        <v>187</v>
      </c>
      <c r="D10" s="21"/>
      <c r="E10" s="21" t="s">
        <v>426</v>
      </c>
      <c r="F10" s="21" t="s">
        <v>262</v>
      </c>
      <c r="G10" s="23" t="s">
        <v>455</v>
      </c>
      <c r="H10" s="21" t="s">
        <v>456</v>
      </c>
      <c r="I10" s="64" t="s">
        <v>457</v>
      </c>
      <c r="J10" s="23" t="s">
        <v>458</v>
      </c>
      <c r="K10" s="23" t="s">
        <v>459</v>
      </c>
      <c r="L10" s="23" t="s">
        <v>460</v>
      </c>
      <c r="M10" s="21"/>
    </row>
    <row r="11" customFormat="false" ht="61.5" hidden="false" customHeight="true" outlineLevel="0" collapsed="false">
      <c r="A11" s="21" t="s">
        <v>353</v>
      </c>
      <c r="B11" s="21"/>
      <c r="C11" s="57" t="s">
        <v>408</v>
      </c>
      <c r="D11" s="21"/>
      <c r="E11" s="21" t="s">
        <v>426</v>
      </c>
      <c r="F11" s="21" t="s">
        <v>262</v>
      </c>
      <c r="G11" s="23" t="s">
        <v>461</v>
      </c>
      <c r="H11" s="21" t="s">
        <v>462</v>
      </c>
      <c r="I11" s="23" t="s">
        <v>463</v>
      </c>
      <c r="J11" s="23" t="s">
        <v>464</v>
      </c>
      <c r="K11" s="23" t="s">
        <v>465</v>
      </c>
      <c r="L11" s="23" t="s">
        <v>466</v>
      </c>
      <c r="M11" s="21"/>
    </row>
    <row r="12" customFormat="false" ht="61.5" hidden="false" customHeight="true" outlineLevel="0" collapsed="false">
      <c r="A12" s="21" t="s">
        <v>467</v>
      </c>
      <c r="B12" s="21" t="s">
        <v>468</v>
      </c>
      <c r="C12" s="57" t="s">
        <v>405</v>
      </c>
      <c r="D12" s="21"/>
      <c r="E12" s="21" t="s">
        <v>426</v>
      </c>
      <c r="F12" s="21" t="s">
        <v>262</v>
      </c>
      <c r="G12" s="23"/>
      <c r="H12" s="21"/>
      <c r="I12" s="65" t="s">
        <v>469</v>
      </c>
      <c r="J12" s="23" t="s">
        <v>470</v>
      </c>
      <c r="K12" s="23"/>
      <c r="L12" s="23" t="s">
        <v>471</v>
      </c>
      <c r="M12" s="21"/>
    </row>
    <row r="13" customFormat="false" ht="61.5" hidden="false" customHeight="true" outlineLevel="0" collapsed="false">
      <c r="A13" s="21" t="s">
        <v>467</v>
      </c>
      <c r="B13" s="21" t="s">
        <v>472</v>
      </c>
      <c r="C13" s="57" t="s">
        <v>178</v>
      </c>
      <c r="D13" s="21"/>
      <c r="E13" s="21" t="s">
        <v>426</v>
      </c>
      <c r="F13" s="21" t="s">
        <v>262</v>
      </c>
      <c r="G13" s="23"/>
      <c r="H13" s="21"/>
      <c r="I13" s="65" t="s">
        <v>469</v>
      </c>
      <c r="J13" s="23" t="s">
        <v>473</v>
      </c>
      <c r="K13" s="23"/>
      <c r="L13" s="23" t="s">
        <v>471</v>
      </c>
      <c r="M13" s="21"/>
    </row>
    <row r="14" customFormat="false" ht="61.5" hidden="false" customHeight="true" outlineLevel="0" collapsed="false">
      <c r="A14" s="21" t="s">
        <v>467</v>
      </c>
      <c r="B14" s="21" t="s">
        <v>474</v>
      </c>
      <c r="C14" s="57" t="s">
        <v>195</v>
      </c>
      <c r="D14" s="21"/>
      <c r="E14" s="21" t="s">
        <v>426</v>
      </c>
      <c r="F14" s="21" t="s">
        <v>262</v>
      </c>
      <c r="G14" s="23"/>
      <c r="H14" s="21"/>
      <c r="I14" s="65" t="s">
        <v>469</v>
      </c>
      <c r="J14" s="23" t="s">
        <v>475</v>
      </c>
      <c r="K14" s="23"/>
      <c r="L14" s="23" t="s">
        <v>471</v>
      </c>
      <c r="M14" s="21"/>
    </row>
    <row r="15" customFormat="false" ht="61.5" hidden="false" customHeight="true" outlineLevel="0" collapsed="false">
      <c r="A15" s="21" t="s">
        <v>376</v>
      </c>
      <c r="B15" s="21"/>
      <c r="C15" s="57" t="s">
        <v>169</v>
      </c>
      <c r="D15" s="21" t="s">
        <v>168</v>
      </c>
      <c r="E15" s="21" t="s">
        <v>426</v>
      </c>
      <c r="F15" s="21" t="s">
        <v>476</v>
      </c>
      <c r="G15" s="23" t="s">
        <v>266</v>
      </c>
      <c r="H15" s="21"/>
      <c r="I15" s="23" t="s">
        <v>477</v>
      </c>
      <c r="J15" s="23" t="s">
        <v>478</v>
      </c>
      <c r="K15" s="23" t="s">
        <v>479</v>
      </c>
      <c r="L15" s="23" t="s">
        <v>480</v>
      </c>
      <c r="M15" s="21"/>
    </row>
    <row r="16" customFormat="false" ht="61.5" hidden="false" customHeight="true" outlineLevel="0" collapsed="false">
      <c r="A16" s="21" t="s">
        <v>376</v>
      </c>
      <c r="B16" s="21"/>
      <c r="C16" s="57" t="s">
        <v>169</v>
      </c>
      <c r="D16" s="21" t="s">
        <v>168</v>
      </c>
      <c r="E16" s="21" t="s">
        <v>481</v>
      </c>
      <c r="F16" s="21" t="s">
        <v>261</v>
      </c>
      <c r="G16" s="23" t="s">
        <v>482</v>
      </c>
      <c r="H16" s="21"/>
      <c r="I16" s="23" t="s">
        <v>483</v>
      </c>
      <c r="J16" s="23" t="s">
        <v>484</v>
      </c>
      <c r="K16" s="23" t="s">
        <v>485</v>
      </c>
      <c r="L16" s="23" t="s">
        <v>486</v>
      </c>
      <c r="M16" s="21" t="s">
        <v>376</v>
      </c>
    </row>
    <row r="17" customFormat="false" ht="61.5" hidden="false" customHeight="true" outlineLevel="0" collapsed="false">
      <c r="A17" s="21" t="s">
        <v>376</v>
      </c>
      <c r="B17" s="21"/>
      <c r="C17" s="57" t="s">
        <v>169</v>
      </c>
      <c r="D17" s="21" t="s">
        <v>168</v>
      </c>
      <c r="E17" s="21" t="s">
        <v>481</v>
      </c>
      <c r="F17" s="21" t="s">
        <v>261</v>
      </c>
      <c r="G17" s="23" t="s">
        <v>487</v>
      </c>
      <c r="H17" s="21"/>
      <c r="I17" s="23" t="s">
        <v>483</v>
      </c>
      <c r="J17" s="23" t="s">
        <v>488</v>
      </c>
      <c r="K17" s="23" t="s">
        <v>489</v>
      </c>
      <c r="L17" s="23" t="s">
        <v>490</v>
      </c>
      <c r="M17" s="21" t="s">
        <v>376</v>
      </c>
    </row>
    <row r="18" customFormat="false" ht="61.5" hidden="false" customHeight="true" outlineLevel="0" collapsed="false">
      <c r="A18" s="21" t="s">
        <v>376</v>
      </c>
      <c r="B18" s="21"/>
      <c r="C18" s="57" t="s">
        <v>169</v>
      </c>
      <c r="D18" s="21" t="s">
        <v>168</v>
      </c>
      <c r="E18" s="21" t="s">
        <v>481</v>
      </c>
      <c r="F18" s="21" t="s">
        <v>261</v>
      </c>
      <c r="G18" s="23" t="s">
        <v>487</v>
      </c>
      <c r="H18" s="21"/>
      <c r="I18" s="23" t="s">
        <v>483</v>
      </c>
      <c r="J18" s="23" t="s">
        <v>491</v>
      </c>
      <c r="K18" s="23" t="s">
        <v>489</v>
      </c>
      <c r="L18" s="23" t="s">
        <v>492</v>
      </c>
      <c r="M18" s="21" t="s">
        <v>376</v>
      </c>
    </row>
    <row r="19" customFormat="false" ht="61.5" hidden="false" customHeight="true" outlineLevel="0" collapsed="false">
      <c r="A19" s="21" t="s">
        <v>376</v>
      </c>
      <c r="B19" s="21"/>
      <c r="C19" s="57" t="s">
        <v>169</v>
      </c>
      <c r="D19" s="21" t="s">
        <v>208</v>
      </c>
      <c r="E19" s="21" t="s">
        <v>481</v>
      </c>
      <c r="F19" s="21" t="s">
        <v>261</v>
      </c>
      <c r="G19" s="23" t="s">
        <v>487</v>
      </c>
      <c r="H19" s="21"/>
      <c r="I19" s="23" t="s">
        <v>483</v>
      </c>
      <c r="J19" s="23" t="s">
        <v>493</v>
      </c>
      <c r="K19" s="23" t="s">
        <v>489</v>
      </c>
      <c r="L19" s="23" t="s">
        <v>494</v>
      </c>
      <c r="M19" s="21" t="s">
        <v>376</v>
      </c>
    </row>
    <row r="20" customFormat="false" ht="61.5" hidden="false" customHeight="true" outlineLevel="0" collapsed="false">
      <c r="A20" s="21" t="s">
        <v>376</v>
      </c>
      <c r="B20" s="21"/>
      <c r="C20" s="57" t="s">
        <v>169</v>
      </c>
      <c r="D20" s="21" t="s">
        <v>208</v>
      </c>
      <c r="E20" s="21" t="s">
        <v>481</v>
      </c>
      <c r="F20" s="21" t="s">
        <v>261</v>
      </c>
      <c r="G20" s="23" t="s">
        <v>487</v>
      </c>
      <c r="H20" s="21"/>
      <c r="I20" s="23" t="s">
        <v>483</v>
      </c>
      <c r="J20" s="23" t="s">
        <v>495</v>
      </c>
      <c r="K20" s="23" t="s">
        <v>489</v>
      </c>
      <c r="L20" s="23" t="s">
        <v>496</v>
      </c>
      <c r="M20" s="21" t="s">
        <v>376</v>
      </c>
    </row>
    <row r="21" customFormat="false" ht="61.5" hidden="false" customHeight="true" outlineLevel="0" collapsed="false">
      <c r="A21" s="21" t="s">
        <v>376</v>
      </c>
      <c r="B21" s="21" t="s">
        <v>497</v>
      </c>
      <c r="C21" s="57" t="s">
        <v>169</v>
      </c>
      <c r="D21" s="21" t="s">
        <v>168</v>
      </c>
      <c r="E21" s="21" t="s">
        <v>426</v>
      </c>
      <c r="F21" s="21" t="s">
        <v>262</v>
      </c>
      <c r="G21" s="23" t="s">
        <v>498</v>
      </c>
      <c r="H21" s="21"/>
      <c r="I21" s="23" t="s">
        <v>463</v>
      </c>
      <c r="J21" s="23" t="s">
        <v>499</v>
      </c>
      <c r="K21" s="23" t="s">
        <v>500</v>
      </c>
      <c r="L21" s="23" t="s">
        <v>501</v>
      </c>
      <c r="M21" s="21" t="s">
        <v>376</v>
      </c>
    </row>
    <row r="22" customFormat="false" ht="61.5" hidden="false" customHeight="true" outlineLevel="0" collapsed="false">
      <c r="A22" s="21" t="s">
        <v>376</v>
      </c>
      <c r="B22" s="21" t="s">
        <v>502</v>
      </c>
      <c r="C22" s="57" t="s">
        <v>503</v>
      </c>
      <c r="D22" s="21"/>
      <c r="E22" s="21" t="s">
        <v>426</v>
      </c>
      <c r="F22" s="21" t="s">
        <v>262</v>
      </c>
      <c r="G22" s="23"/>
      <c r="H22" s="21"/>
      <c r="I22" s="23" t="s">
        <v>504</v>
      </c>
      <c r="J22" s="23" t="s">
        <v>505</v>
      </c>
      <c r="K22" s="23" t="s">
        <v>446</v>
      </c>
      <c r="L22" s="23" t="s">
        <v>506</v>
      </c>
      <c r="M22" s="21" t="s">
        <v>376</v>
      </c>
    </row>
    <row r="23" customFormat="false" ht="61.5" hidden="false" customHeight="true" outlineLevel="0" collapsed="false">
      <c r="A23" s="21" t="s">
        <v>376</v>
      </c>
      <c r="B23" s="21" t="s">
        <v>507</v>
      </c>
      <c r="C23" s="57" t="s">
        <v>169</v>
      </c>
      <c r="D23" s="21" t="s">
        <v>208</v>
      </c>
      <c r="E23" s="21" t="s">
        <v>426</v>
      </c>
      <c r="F23" s="21" t="s">
        <v>262</v>
      </c>
      <c r="G23" s="23"/>
      <c r="H23" s="21"/>
      <c r="I23" s="65" t="s">
        <v>469</v>
      </c>
      <c r="J23" s="23" t="s">
        <v>508</v>
      </c>
      <c r="K23" s="23"/>
      <c r="L23" s="23" t="s">
        <v>509</v>
      </c>
      <c r="M23" s="21" t="s">
        <v>376</v>
      </c>
    </row>
    <row r="24" customFormat="false" ht="61.5" hidden="false" customHeight="true" outlineLevel="0" collapsed="false">
      <c r="A24" s="21" t="s">
        <v>376</v>
      </c>
      <c r="B24" s="21" t="s">
        <v>510</v>
      </c>
      <c r="C24" s="57" t="s">
        <v>159</v>
      </c>
      <c r="D24" s="21" t="s">
        <v>158</v>
      </c>
      <c r="E24" s="21" t="s">
        <v>426</v>
      </c>
      <c r="F24" s="21" t="s">
        <v>262</v>
      </c>
      <c r="G24" s="23"/>
      <c r="H24" s="21"/>
      <c r="I24" s="65" t="s">
        <v>469</v>
      </c>
      <c r="J24" s="23" t="s">
        <v>511</v>
      </c>
      <c r="K24" s="23"/>
      <c r="L24" s="23" t="s">
        <v>512</v>
      </c>
      <c r="M24" s="21" t="s">
        <v>376</v>
      </c>
    </row>
    <row r="25" customFormat="false" ht="61.5" hidden="false" customHeight="true" outlineLevel="0" collapsed="false">
      <c r="A25" s="21" t="s">
        <v>376</v>
      </c>
      <c r="B25" s="21" t="s">
        <v>468</v>
      </c>
      <c r="C25" s="57" t="s">
        <v>178</v>
      </c>
      <c r="D25" s="21" t="s">
        <v>513</v>
      </c>
      <c r="E25" s="21" t="s">
        <v>426</v>
      </c>
      <c r="F25" s="21" t="s">
        <v>262</v>
      </c>
      <c r="G25" s="23"/>
      <c r="H25" s="21"/>
      <c r="I25" s="65" t="s">
        <v>469</v>
      </c>
      <c r="J25" s="23" t="s">
        <v>514</v>
      </c>
      <c r="K25" s="23"/>
      <c r="L25" s="23" t="s">
        <v>515</v>
      </c>
      <c r="M25" s="21" t="s">
        <v>376</v>
      </c>
    </row>
    <row r="26" customFormat="false" ht="61.5" hidden="false" customHeight="true" outlineLevel="0" collapsed="false">
      <c r="A26" s="21" t="s">
        <v>376</v>
      </c>
      <c r="B26" s="21" t="s">
        <v>468</v>
      </c>
      <c r="C26" s="57" t="s">
        <v>229</v>
      </c>
      <c r="D26" s="21"/>
      <c r="E26" s="21" t="s">
        <v>426</v>
      </c>
      <c r="F26" s="21" t="s">
        <v>262</v>
      </c>
      <c r="G26" s="23"/>
      <c r="H26" s="21"/>
      <c r="I26" s="65" t="s">
        <v>469</v>
      </c>
      <c r="J26" s="23" t="s">
        <v>516</v>
      </c>
      <c r="K26" s="23"/>
      <c r="L26" s="23" t="s">
        <v>517</v>
      </c>
      <c r="M26" s="21" t="s">
        <v>376</v>
      </c>
    </row>
    <row r="27" customFormat="false" ht="61.5" hidden="false" customHeight="true" outlineLevel="0" collapsed="false">
      <c r="A27" s="21" t="s">
        <v>376</v>
      </c>
      <c r="B27" s="21" t="s">
        <v>474</v>
      </c>
      <c r="C27" s="57" t="s">
        <v>187</v>
      </c>
      <c r="D27" s="21" t="s">
        <v>186</v>
      </c>
      <c r="E27" s="21" t="s">
        <v>426</v>
      </c>
      <c r="F27" s="21" t="s">
        <v>262</v>
      </c>
      <c r="G27" s="23"/>
      <c r="H27" s="21"/>
      <c r="I27" s="65" t="s">
        <v>469</v>
      </c>
      <c r="J27" s="23" t="s">
        <v>518</v>
      </c>
      <c r="K27" s="23"/>
      <c r="L27" s="23" t="s">
        <v>519</v>
      </c>
      <c r="M27" s="21" t="s">
        <v>376</v>
      </c>
    </row>
    <row r="28" customFormat="false" ht="61.5" hidden="false" customHeight="true" outlineLevel="0" collapsed="false">
      <c r="A28" s="21" t="s">
        <v>376</v>
      </c>
      <c r="B28" s="21" t="s">
        <v>474</v>
      </c>
      <c r="C28" s="57" t="s">
        <v>195</v>
      </c>
      <c r="D28" s="21" t="s">
        <v>194</v>
      </c>
      <c r="E28" s="21" t="s">
        <v>426</v>
      </c>
      <c r="F28" s="21" t="s">
        <v>262</v>
      </c>
      <c r="G28" s="23"/>
      <c r="H28" s="21"/>
      <c r="I28" s="65" t="s">
        <v>469</v>
      </c>
      <c r="J28" s="23" t="s">
        <v>520</v>
      </c>
      <c r="K28" s="23"/>
      <c r="L28" s="23" t="s">
        <v>521</v>
      </c>
      <c r="M28" s="21" t="s">
        <v>376</v>
      </c>
    </row>
    <row r="29" customFormat="false" ht="61.5" hidden="false" customHeight="true" outlineLevel="0" collapsed="false">
      <c r="A29" s="21" t="s">
        <v>376</v>
      </c>
      <c r="B29" s="21" t="s">
        <v>474</v>
      </c>
      <c r="C29" s="57" t="s">
        <v>219</v>
      </c>
      <c r="D29" s="21" t="s">
        <v>218</v>
      </c>
      <c r="E29" s="21" t="s">
        <v>426</v>
      </c>
      <c r="F29" s="21" t="s">
        <v>262</v>
      </c>
      <c r="G29" s="23"/>
      <c r="H29" s="21"/>
      <c r="I29" s="65" t="s">
        <v>469</v>
      </c>
      <c r="J29" s="23" t="s">
        <v>522</v>
      </c>
      <c r="K29" s="23"/>
      <c r="L29" s="23" t="s">
        <v>523</v>
      </c>
      <c r="M29" s="21" t="s">
        <v>376</v>
      </c>
    </row>
    <row r="30" customFormat="false" ht="61.5" hidden="false" customHeight="true" outlineLevel="0" collapsed="false">
      <c r="A30" s="21" t="s">
        <v>376</v>
      </c>
      <c r="B30" s="21" t="s">
        <v>524</v>
      </c>
      <c r="C30" s="57" t="s">
        <v>159</v>
      </c>
      <c r="D30" s="21" t="s">
        <v>158</v>
      </c>
      <c r="E30" s="21" t="s">
        <v>426</v>
      </c>
      <c r="F30" s="21" t="s">
        <v>262</v>
      </c>
      <c r="G30" s="23" t="s">
        <v>525</v>
      </c>
      <c r="H30" s="21"/>
      <c r="I30" s="63" t="s">
        <v>526</v>
      </c>
      <c r="J30" s="23" t="s">
        <v>527</v>
      </c>
      <c r="K30" s="23" t="s">
        <v>446</v>
      </c>
      <c r="L30" s="23" t="s">
        <v>528</v>
      </c>
      <c r="M30" s="21" t="s">
        <v>529</v>
      </c>
    </row>
    <row r="31" customFormat="false" ht="61.5" hidden="false" customHeight="true" outlineLevel="0" collapsed="false">
      <c r="A31" s="21" t="s">
        <v>376</v>
      </c>
      <c r="B31" s="21" t="s">
        <v>530</v>
      </c>
      <c r="C31" s="57" t="s">
        <v>531</v>
      </c>
      <c r="D31" s="21"/>
      <c r="E31" s="21" t="s">
        <v>426</v>
      </c>
      <c r="F31" s="21" t="s">
        <v>262</v>
      </c>
      <c r="G31" s="23"/>
      <c r="H31" s="21"/>
      <c r="I31" s="63" t="s">
        <v>526</v>
      </c>
      <c r="J31" s="23" t="s">
        <v>532</v>
      </c>
      <c r="K31" s="23" t="s">
        <v>446</v>
      </c>
      <c r="L31" s="23" t="s">
        <v>533</v>
      </c>
      <c r="M31" s="21" t="s">
        <v>376</v>
      </c>
    </row>
    <row r="32" customFormat="false" ht="39.75" hidden="false" customHeight="true" outlineLevel="0" collapsed="false">
      <c r="A32" s="66" t="s">
        <v>534</v>
      </c>
      <c r="B32" s="66" t="s">
        <v>535</v>
      </c>
      <c r="C32" s="67" t="s">
        <v>178</v>
      </c>
      <c r="D32" s="66" t="s">
        <v>177</v>
      </c>
      <c r="E32" s="66" t="s">
        <v>426</v>
      </c>
      <c r="F32" s="66" t="s">
        <v>262</v>
      </c>
      <c r="G32" s="67" t="s">
        <v>536</v>
      </c>
      <c r="H32" s="66" t="s">
        <v>537</v>
      </c>
      <c r="I32" s="67" t="s">
        <v>538</v>
      </c>
      <c r="J32" s="67" t="s">
        <v>539</v>
      </c>
      <c r="K32" s="67" t="s">
        <v>540</v>
      </c>
      <c r="L32" s="67" t="s">
        <v>541</v>
      </c>
      <c r="M32" s="66" t="s">
        <v>542</v>
      </c>
    </row>
    <row r="33" customFormat="false" ht="30" hidden="false" customHeight="true" outlineLevel="0" collapsed="false">
      <c r="A33" s="68"/>
      <c r="B33" s="68"/>
      <c r="C33" s="69"/>
      <c r="D33" s="68"/>
      <c r="E33" s="68"/>
      <c r="F33" s="68"/>
      <c r="G33" s="69"/>
      <c r="H33" s="68"/>
      <c r="I33" s="69"/>
      <c r="J33" s="69"/>
      <c r="K33" s="69"/>
      <c r="L33" s="69"/>
      <c r="M33" s="68"/>
    </row>
    <row r="34" customFormat="false" ht="30" hidden="false" customHeight="true" outlineLevel="0" collapsed="false">
      <c r="A34" s="68"/>
      <c r="B34" s="68"/>
      <c r="C34" s="69"/>
      <c r="D34" s="68"/>
      <c r="E34" s="68"/>
      <c r="F34" s="68"/>
      <c r="G34" s="69"/>
      <c r="H34" s="68"/>
      <c r="I34" s="69"/>
      <c r="J34" s="69"/>
      <c r="K34" s="69"/>
      <c r="L34" s="69"/>
      <c r="M34" s="68"/>
    </row>
    <row r="35" customFormat="false" ht="30" hidden="false" customHeight="true" outlineLevel="0" collapsed="false">
      <c r="A35" s="68"/>
      <c r="B35" s="68"/>
      <c r="C35" s="69"/>
      <c r="D35" s="68"/>
      <c r="E35" s="68"/>
      <c r="F35" s="68"/>
      <c r="G35" s="69"/>
      <c r="H35" s="68"/>
      <c r="I35" s="69"/>
      <c r="J35" s="69"/>
      <c r="K35" s="69"/>
      <c r="L35" s="69"/>
      <c r="M35" s="68"/>
    </row>
    <row r="36" customFormat="false" ht="30" hidden="false" customHeight="true" outlineLevel="0" collapsed="false">
      <c r="A36" s="68"/>
      <c r="B36" s="68"/>
      <c r="C36" s="69"/>
      <c r="D36" s="68"/>
      <c r="E36" s="68"/>
      <c r="F36" s="68"/>
      <c r="G36" s="69"/>
      <c r="H36" s="68"/>
      <c r="I36" s="69"/>
      <c r="J36" s="69"/>
      <c r="K36" s="69"/>
      <c r="L36" s="69"/>
      <c r="M36" s="68"/>
    </row>
    <row r="37" customFormat="false" ht="30" hidden="false" customHeight="true" outlineLevel="0" collapsed="false">
      <c r="A37" s="68"/>
      <c r="B37" s="68"/>
      <c r="C37" s="69"/>
      <c r="D37" s="68"/>
      <c r="E37" s="68"/>
      <c r="F37" s="68"/>
      <c r="G37" s="69"/>
      <c r="H37" s="68"/>
      <c r="I37" s="69"/>
      <c r="J37" s="69"/>
      <c r="K37" s="69"/>
      <c r="L37" s="69"/>
      <c r="M37" s="68"/>
    </row>
    <row r="38" customFormat="false" ht="30" hidden="false" customHeight="true" outlineLevel="0" collapsed="false">
      <c r="A38" s="68"/>
      <c r="B38" s="68"/>
      <c r="C38" s="69"/>
      <c r="D38" s="68"/>
      <c r="E38" s="68"/>
      <c r="F38" s="68"/>
      <c r="G38" s="69"/>
      <c r="H38" s="68"/>
      <c r="I38" s="69"/>
      <c r="J38" s="69"/>
      <c r="K38" s="69"/>
      <c r="L38" s="69"/>
      <c r="M38" s="68"/>
    </row>
    <row r="39" customFormat="false" ht="30" hidden="false" customHeight="true" outlineLevel="0" collapsed="false">
      <c r="A39" s="68"/>
      <c r="B39" s="68"/>
      <c r="C39" s="69"/>
      <c r="D39" s="68"/>
      <c r="E39" s="68"/>
      <c r="F39" s="68"/>
      <c r="G39" s="69"/>
      <c r="H39" s="68"/>
      <c r="I39" s="69"/>
      <c r="J39" s="69"/>
      <c r="K39" s="69"/>
      <c r="L39" s="69"/>
      <c r="M39" s="68"/>
    </row>
    <row r="40" customFormat="false" ht="30" hidden="false" customHeight="true" outlineLevel="0" collapsed="false">
      <c r="A40" s="68"/>
      <c r="B40" s="68"/>
      <c r="C40" s="69"/>
      <c r="D40" s="68"/>
      <c r="E40" s="68"/>
      <c r="F40" s="68"/>
      <c r="G40" s="69"/>
      <c r="H40" s="68"/>
      <c r="I40" s="69"/>
      <c r="J40" s="69"/>
      <c r="K40" s="69"/>
      <c r="L40" s="69"/>
      <c r="M40" s="68"/>
    </row>
    <row r="41" customFormat="false" ht="30" hidden="false" customHeight="true" outlineLevel="0" collapsed="false">
      <c r="A41" s="68"/>
      <c r="B41" s="68"/>
      <c r="C41" s="69"/>
      <c r="D41" s="68"/>
      <c r="E41" s="68"/>
      <c r="F41" s="68"/>
      <c r="G41" s="69"/>
      <c r="H41" s="68"/>
      <c r="I41" s="69"/>
      <c r="J41" s="69"/>
      <c r="K41" s="69"/>
      <c r="L41" s="69"/>
      <c r="M41" s="68"/>
    </row>
    <row r="42" customFormat="false" ht="30" hidden="false" customHeight="true" outlineLevel="0" collapsed="false">
      <c r="A42" s="68"/>
      <c r="B42" s="68"/>
      <c r="C42" s="69"/>
      <c r="D42" s="68"/>
      <c r="E42" s="68"/>
      <c r="F42" s="68"/>
      <c r="G42" s="69"/>
      <c r="H42" s="68"/>
      <c r="I42" s="69"/>
      <c r="J42" s="69"/>
      <c r="K42" s="69"/>
      <c r="L42" s="69"/>
      <c r="M42" s="68"/>
    </row>
    <row r="43" customFormat="false" ht="30" hidden="false" customHeight="true" outlineLevel="0" collapsed="false">
      <c r="A43" s="68"/>
      <c r="B43" s="68"/>
      <c r="C43" s="69"/>
      <c r="D43" s="68"/>
      <c r="E43" s="68"/>
      <c r="F43" s="68"/>
      <c r="G43" s="69"/>
      <c r="H43" s="68"/>
      <c r="I43" s="69"/>
      <c r="J43" s="69"/>
      <c r="K43" s="69"/>
      <c r="L43" s="69"/>
      <c r="M43" s="68"/>
    </row>
    <row r="44" customFormat="false" ht="30" hidden="false" customHeight="true" outlineLevel="0" collapsed="false">
      <c r="A44" s="68"/>
      <c r="B44" s="68"/>
      <c r="C44" s="69"/>
      <c r="D44" s="68"/>
      <c r="E44" s="68"/>
      <c r="F44" s="68"/>
      <c r="G44" s="69"/>
      <c r="H44" s="68"/>
      <c r="I44" s="69"/>
      <c r="J44" s="69"/>
      <c r="K44" s="69"/>
      <c r="L44" s="69"/>
      <c r="M44" s="68"/>
    </row>
    <row r="45" customFormat="false" ht="30" hidden="false" customHeight="true" outlineLevel="0" collapsed="false">
      <c r="A45" s="68"/>
      <c r="B45" s="68"/>
      <c r="C45" s="69"/>
      <c r="D45" s="68"/>
      <c r="E45" s="68"/>
      <c r="F45" s="68"/>
      <c r="G45" s="69"/>
      <c r="H45" s="68"/>
      <c r="I45" s="69"/>
      <c r="J45" s="69"/>
      <c r="K45" s="69"/>
      <c r="L45" s="69"/>
      <c r="M45" s="68"/>
    </row>
    <row r="46" customFormat="false" ht="30" hidden="false" customHeight="true" outlineLevel="0" collapsed="false">
      <c r="A46" s="68"/>
      <c r="B46" s="68"/>
      <c r="C46" s="69"/>
      <c r="D46" s="68"/>
      <c r="E46" s="68"/>
      <c r="F46" s="68"/>
      <c r="G46" s="69"/>
      <c r="H46" s="68"/>
      <c r="I46" s="69"/>
      <c r="J46" s="69"/>
      <c r="K46" s="69"/>
      <c r="L46" s="69"/>
      <c r="M46" s="68"/>
    </row>
    <row r="47" customFormat="false" ht="30" hidden="false" customHeight="true" outlineLevel="0" collapsed="false">
      <c r="A47" s="68"/>
      <c r="B47" s="68"/>
      <c r="C47" s="69"/>
      <c r="D47" s="68"/>
      <c r="E47" s="68"/>
      <c r="F47" s="68"/>
      <c r="G47" s="69"/>
      <c r="H47" s="68"/>
      <c r="I47" s="69"/>
      <c r="J47" s="69"/>
      <c r="K47" s="69"/>
      <c r="L47" s="69"/>
      <c r="M47" s="68"/>
    </row>
    <row r="48" customFormat="false" ht="30" hidden="false" customHeight="true" outlineLevel="0" collapsed="false">
      <c r="A48" s="68"/>
      <c r="B48" s="68"/>
      <c r="C48" s="69"/>
      <c r="D48" s="68"/>
      <c r="E48" s="68"/>
      <c r="F48" s="68"/>
      <c r="G48" s="69"/>
      <c r="H48" s="68"/>
      <c r="I48" s="69"/>
      <c r="J48" s="69"/>
      <c r="K48" s="69"/>
      <c r="L48" s="69"/>
      <c r="M48" s="68"/>
    </row>
    <row r="49" customFormat="false" ht="30" hidden="false" customHeight="true" outlineLevel="0" collapsed="false">
      <c r="A49" s="68"/>
      <c r="B49" s="68"/>
      <c r="C49" s="69"/>
      <c r="D49" s="68"/>
      <c r="E49" s="68"/>
      <c r="F49" s="68"/>
      <c r="G49" s="69"/>
      <c r="H49" s="68"/>
      <c r="I49" s="69"/>
      <c r="J49" s="69"/>
      <c r="K49" s="69"/>
      <c r="L49" s="69"/>
      <c r="M49" s="68"/>
    </row>
    <row r="50" customFormat="false" ht="30" hidden="false" customHeight="true" outlineLevel="0" collapsed="false">
      <c r="A50" s="68"/>
      <c r="B50" s="68"/>
      <c r="C50" s="69"/>
      <c r="D50" s="68"/>
      <c r="E50" s="68"/>
      <c r="F50" s="68"/>
      <c r="G50" s="69"/>
      <c r="H50" s="68"/>
      <c r="I50" s="69"/>
      <c r="J50" s="69"/>
      <c r="K50" s="69"/>
      <c r="L50" s="69"/>
      <c r="M50" s="68"/>
    </row>
    <row r="51" customFormat="false" ht="30" hidden="false" customHeight="true" outlineLevel="0" collapsed="false">
      <c r="A51" s="68"/>
      <c r="B51" s="68"/>
      <c r="C51" s="69"/>
      <c r="D51" s="68"/>
      <c r="E51" s="68"/>
      <c r="F51" s="68"/>
      <c r="G51" s="69"/>
      <c r="H51" s="68"/>
      <c r="I51" s="69"/>
      <c r="J51" s="69"/>
      <c r="K51" s="69"/>
      <c r="L51" s="69"/>
      <c r="M51" s="68"/>
    </row>
    <row r="52" customFormat="false" ht="30" hidden="false" customHeight="true" outlineLevel="0" collapsed="false">
      <c r="A52" s="68"/>
      <c r="B52" s="68"/>
      <c r="C52" s="69"/>
      <c r="D52" s="68"/>
      <c r="E52" s="68"/>
      <c r="F52" s="68"/>
      <c r="G52" s="69"/>
      <c r="H52" s="68"/>
      <c r="I52" s="69"/>
      <c r="J52" s="69"/>
      <c r="K52" s="69"/>
      <c r="L52" s="69"/>
      <c r="M52" s="68"/>
    </row>
    <row r="53" customFormat="false" ht="30" hidden="false" customHeight="true" outlineLevel="0" collapsed="false">
      <c r="A53" s="68"/>
      <c r="B53" s="68"/>
      <c r="C53" s="69"/>
      <c r="D53" s="68"/>
      <c r="E53" s="68"/>
      <c r="F53" s="68"/>
      <c r="G53" s="69"/>
      <c r="H53" s="68"/>
      <c r="I53" s="69"/>
      <c r="J53" s="69"/>
      <c r="K53" s="69"/>
      <c r="L53" s="69"/>
      <c r="M53" s="68"/>
    </row>
    <row r="54" customFormat="false" ht="30" hidden="false" customHeight="true" outlineLevel="0" collapsed="false">
      <c r="A54" s="68"/>
      <c r="B54" s="68"/>
      <c r="C54" s="69"/>
      <c r="D54" s="68"/>
      <c r="E54" s="68"/>
      <c r="F54" s="68"/>
      <c r="G54" s="69"/>
      <c r="H54" s="68"/>
      <c r="I54" s="69"/>
      <c r="J54" s="69"/>
      <c r="K54" s="69"/>
      <c r="L54" s="69"/>
      <c r="M54" s="68"/>
    </row>
    <row r="55" customFormat="false" ht="30" hidden="false" customHeight="true" outlineLevel="0" collapsed="false">
      <c r="A55" s="68"/>
      <c r="B55" s="68"/>
      <c r="C55" s="69"/>
      <c r="D55" s="68"/>
      <c r="E55" s="68"/>
      <c r="F55" s="68"/>
      <c r="G55" s="69"/>
      <c r="H55" s="68"/>
      <c r="I55" s="69"/>
      <c r="J55" s="69"/>
      <c r="K55" s="69"/>
      <c r="L55" s="69"/>
      <c r="M55" s="68"/>
    </row>
    <row r="56" customFormat="false" ht="30" hidden="false" customHeight="true" outlineLevel="0" collapsed="false">
      <c r="A56" s="68"/>
      <c r="B56" s="68"/>
      <c r="C56" s="69"/>
      <c r="D56" s="68"/>
      <c r="E56" s="68"/>
      <c r="F56" s="68"/>
      <c r="G56" s="69"/>
      <c r="H56" s="68"/>
      <c r="I56" s="69"/>
      <c r="J56" s="69"/>
      <c r="K56" s="69"/>
      <c r="L56" s="69"/>
      <c r="M56" s="68"/>
    </row>
    <row r="57" customFormat="false" ht="30" hidden="false" customHeight="true" outlineLevel="0" collapsed="false">
      <c r="A57" s="68"/>
      <c r="B57" s="68"/>
      <c r="C57" s="69"/>
      <c r="D57" s="68"/>
      <c r="E57" s="68"/>
      <c r="F57" s="68"/>
      <c r="G57" s="69"/>
      <c r="H57" s="68"/>
      <c r="I57" s="69"/>
      <c r="J57" s="69"/>
      <c r="K57" s="69"/>
      <c r="L57" s="69"/>
      <c r="M57" s="68"/>
    </row>
    <row r="58" customFormat="false" ht="30" hidden="false" customHeight="true" outlineLevel="0" collapsed="false">
      <c r="A58" s="68"/>
      <c r="B58" s="68"/>
      <c r="C58" s="69"/>
      <c r="D58" s="68"/>
      <c r="E58" s="68"/>
      <c r="F58" s="68"/>
      <c r="G58" s="69"/>
      <c r="H58" s="68"/>
      <c r="I58" s="69"/>
      <c r="J58" s="69"/>
      <c r="K58" s="69"/>
      <c r="L58" s="69"/>
      <c r="M58" s="68"/>
    </row>
    <row r="59" customFormat="false" ht="30" hidden="false" customHeight="true" outlineLevel="0" collapsed="false">
      <c r="A59" s="68"/>
      <c r="B59" s="68"/>
      <c r="C59" s="69"/>
      <c r="D59" s="68"/>
      <c r="E59" s="68"/>
      <c r="F59" s="68"/>
      <c r="G59" s="69"/>
      <c r="H59" s="68"/>
      <c r="I59" s="69"/>
      <c r="J59" s="69"/>
      <c r="K59" s="69"/>
      <c r="L59" s="69"/>
      <c r="M59" s="68"/>
    </row>
    <row r="60" customFormat="false" ht="30" hidden="false" customHeight="true" outlineLevel="0" collapsed="false">
      <c r="A60" s="68"/>
      <c r="B60" s="68"/>
      <c r="C60" s="69"/>
      <c r="D60" s="68"/>
      <c r="E60" s="68"/>
      <c r="F60" s="68"/>
      <c r="G60" s="69"/>
      <c r="H60" s="68"/>
      <c r="I60" s="69"/>
      <c r="J60" s="69"/>
      <c r="K60" s="69"/>
      <c r="L60" s="69"/>
      <c r="M60" s="68"/>
    </row>
    <row r="61" customFormat="false" ht="30" hidden="false" customHeight="true" outlineLevel="0" collapsed="false">
      <c r="A61" s="68"/>
      <c r="B61" s="68"/>
      <c r="C61" s="69"/>
      <c r="D61" s="68"/>
      <c r="E61" s="68"/>
      <c r="F61" s="68"/>
      <c r="G61" s="69"/>
      <c r="H61" s="68"/>
      <c r="I61" s="69"/>
      <c r="J61" s="69"/>
      <c r="K61" s="69"/>
      <c r="L61" s="69"/>
      <c r="M61" s="68"/>
    </row>
    <row r="62" customFormat="false" ht="30" hidden="false" customHeight="true" outlineLevel="0" collapsed="false">
      <c r="A62" s="68"/>
      <c r="B62" s="68"/>
      <c r="C62" s="69"/>
      <c r="D62" s="68"/>
      <c r="E62" s="68"/>
      <c r="F62" s="68"/>
      <c r="G62" s="69"/>
      <c r="H62" s="68"/>
      <c r="I62" s="69"/>
      <c r="J62" s="69"/>
      <c r="K62" s="69"/>
      <c r="L62" s="69"/>
      <c r="M62" s="68"/>
    </row>
    <row r="63" customFormat="false" ht="30" hidden="false" customHeight="true" outlineLevel="0" collapsed="false">
      <c r="A63" s="68"/>
      <c r="B63" s="68"/>
      <c r="C63" s="69"/>
      <c r="D63" s="68"/>
      <c r="E63" s="68"/>
      <c r="F63" s="68"/>
      <c r="G63" s="69"/>
      <c r="H63" s="68"/>
      <c r="I63" s="69"/>
      <c r="J63" s="69"/>
      <c r="K63" s="69"/>
      <c r="L63" s="69"/>
      <c r="M63" s="68"/>
    </row>
    <row r="64" customFormat="false" ht="30" hidden="false" customHeight="true" outlineLevel="0" collapsed="false">
      <c r="A64" s="68"/>
      <c r="B64" s="68"/>
      <c r="C64" s="69"/>
      <c r="D64" s="68"/>
      <c r="E64" s="68"/>
      <c r="F64" s="68"/>
      <c r="G64" s="69"/>
      <c r="H64" s="68"/>
      <c r="I64" s="69"/>
      <c r="J64" s="69"/>
      <c r="K64" s="69"/>
      <c r="L64" s="69"/>
      <c r="M64" s="68"/>
    </row>
    <row r="65" customFormat="false" ht="30" hidden="false" customHeight="true" outlineLevel="0" collapsed="false">
      <c r="A65" s="68"/>
      <c r="B65" s="68"/>
      <c r="C65" s="69"/>
      <c r="D65" s="68"/>
      <c r="E65" s="68"/>
      <c r="F65" s="68"/>
      <c r="G65" s="69"/>
      <c r="H65" s="68"/>
      <c r="I65" s="69"/>
      <c r="J65" s="69"/>
      <c r="K65" s="69"/>
      <c r="L65" s="69"/>
      <c r="M65" s="68"/>
    </row>
    <row r="66" customFormat="false" ht="30" hidden="false" customHeight="true" outlineLevel="0" collapsed="false">
      <c r="A66" s="68"/>
      <c r="B66" s="68"/>
      <c r="C66" s="69"/>
      <c r="D66" s="68"/>
      <c r="E66" s="68"/>
      <c r="F66" s="68"/>
      <c r="G66" s="69"/>
      <c r="H66" s="68"/>
      <c r="I66" s="69"/>
      <c r="J66" s="69"/>
      <c r="K66" s="69"/>
      <c r="L66" s="69"/>
      <c r="M66" s="68"/>
    </row>
    <row r="67" customFormat="false" ht="30" hidden="false" customHeight="true" outlineLevel="0" collapsed="false">
      <c r="A67" s="68"/>
      <c r="B67" s="68"/>
      <c r="C67" s="69"/>
      <c r="D67" s="68"/>
      <c r="E67" s="68"/>
      <c r="F67" s="68"/>
      <c r="G67" s="69"/>
      <c r="H67" s="68"/>
      <c r="I67" s="69"/>
      <c r="J67" s="69"/>
      <c r="K67" s="69"/>
      <c r="L67" s="69"/>
      <c r="M67" s="68"/>
    </row>
    <row r="68" customFormat="false" ht="30" hidden="false" customHeight="true" outlineLevel="0" collapsed="false">
      <c r="A68" s="68"/>
      <c r="B68" s="68"/>
      <c r="C68" s="69"/>
      <c r="D68" s="68"/>
      <c r="E68" s="68"/>
      <c r="F68" s="68"/>
      <c r="G68" s="69"/>
      <c r="H68" s="68"/>
      <c r="I68" s="69"/>
      <c r="J68" s="69"/>
      <c r="K68" s="69"/>
      <c r="L68" s="69"/>
      <c r="M68" s="68"/>
    </row>
    <row r="69" customFormat="false" ht="30" hidden="false" customHeight="true" outlineLevel="0" collapsed="false">
      <c r="A69" s="68"/>
      <c r="B69" s="68"/>
      <c r="C69" s="69"/>
      <c r="D69" s="68"/>
      <c r="E69" s="68"/>
      <c r="F69" s="68"/>
      <c r="G69" s="69"/>
      <c r="H69" s="68"/>
      <c r="I69" s="69"/>
      <c r="J69" s="69"/>
      <c r="K69" s="69"/>
      <c r="L69" s="69"/>
      <c r="M69" s="68"/>
    </row>
    <row r="70" customFormat="false" ht="30" hidden="false" customHeight="true" outlineLevel="0" collapsed="false">
      <c r="A70" s="68"/>
      <c r="B70" s="68"/>
      <c r="C70" s="69"/>
      <c r="D70" s="68"/>
      <c r="E70" s="68"/>
      <c r="F70" s="68"/>
      <c r="G70" s="69"/>
      <c r="H70" s="68"/>
      <c r="I70" s="69"/>
      <c r="J70" s="69"/>
      <c r="K70" s="69"/>
      <c r="L70" s="69"/>
      <c r="M70" s="68"/>
    </row>
    <row r="71" customFormat="false" ht="30" hidden="false" customHeight="true" outlineLevel="0" collapsed="false">
      <c r="A71" s="68"/>
      <c r="B71" s="68"/>
      <c r="C71" s="69"/>
      <c r="D71" s="68"/>
      <c r="E71" s="68"/>
      <c r="F71" s="68"/>
      <c r="G71" s="69"/>
      <c r="H71" s="68"/>
      <c r="I71" s="69"/>
      <c r="J71" s="69"/>
      <c r="K71" s="69"/>
      <c r="L71" s="69"/>
      <c r="M71" s="68"/>
    </row>
    <row r="72" customFormat="false" ht="30" hidden="false" customHeight="true" outlineLevel="0" collapsed="false">
      <c r="A72" s="68"/>
      <c r="B72" s="68"/>
      <c r="C72" s="69"/>
      <c r="D72" s="68"/>
      <c r="E72" s="68"/>
      <c r="F72" s="68"/>
      <c r="G72" s="69"/>
      <c r="H72" s="68"/>
      <c r="I72" s="69"/>
      <c r="J72" s="69"/>
      <c r="K72" s="69"/>
      <c r="L72" s="69"/>
      <c r="M72" s="68"/>
    </row>
  </sheetData>
  <autoFilter ref="A4:M72"/>
  <mergeCells count="2">
    <mergeCell ref="A1:L1"/>
    <mergeCell ref="A2:L2"/>
  </mergeCells>
  <conditionalFormatting sqref="I5:I72">
    <cfRule type="expression" priority="2" aboveAverage="0" equalAverage="0" bottom="0" percent="0" rank="0" text="" dxfId="26">
      <formula>ISNUMBER(SEARCH("BOOKED",I5))</formula>
    </cfRule>
    <cfRule type="expression" priority="3" aboveAverage="0" equalAverage="0" bottom="0" percent="0" rank="0" text="" dxfId="17">
      <formula>ISNUMBER(SEARCH("Rejected",I5))</formula>
    </cfRule>
  </conditionalFormatting>
  <dataValidations count="3">
    <dataValidation allowBlank="true" errorStyle="stop" operator="between" showDropDown="false" showErrorMessage="false" showInputMessage="false" sqref="I5:I72" type="list">
      <formula1>"No answer,Voicemail left,Stuck in IVR,Spoke - interested,Spoke - not a fit,Rejected - 180 day rule,Rejected - other,Callback promised,Rate too low,BOOKED,Emailed only"</formula1>
      <formula2>0</formula2>
    </dataValidation>
    <dataValidation allowBlank="true" errorStyle="stop" operator="between" showDropDown="false" showErrorMessage="false" showInputMessage="false" sqref="F5:F72" type="list">
      <formula1>"Phone,Voicemail,Email,Text,123LB Message,123LB Bid"</formula1>
      <formula2>0</formula2>
    </dataValidation>
    <dataValidation allowBlank="true" errorStyle="stop" operator="between" showDropDown="false" showErrorMessage="false" showInputMessage="false" sqref="E5:E72" type="list">
      <formula1>"Outbound,Inbound"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8"/>
    <col collapsed="false" customWidth="true" hidden="false" outlineLevel="0" max="4" min="4" style="0" width="4"/>
  </cols>
  <sheetData>
    <row r="1" customFormat="false" ht="30" hidden="false" customHeight="true" outlineLevel="0" collapsed="false">
      <c r="A1" s="1" t="s">
        <v>543</v>
      </c>
      <c r="B1" s="1"/>
      <c r="C1" s="1"/>
      <c r="D1" s="1"/>
      <c r="E1" s="1"/>
      <c r="F1" s="1"/>
      <c r="G1" s="1"/>
      <c r="H1" s="1"/>
    </row>
    <row r="2" customFormat="false" ht="19.5" hidden="false" customHeight="true" outlineLevel="0" collapsed="false">
      <c r="A2" s="2" t="s">
        <v>544</v>
      </c>
      <c r="B2" s="2"/>
      <c r="C2" s="2"/>
      <c r="D2" s="2"/>
      <c r="E2" s="2"/>
      <c r="F2" s="2"/>
      <c r="G2" s="2"/>
      <c r="H2" s="2"/>
    </row>
    <row r="4" customFormat="false" ht="21.75" hidden="false" customHeight="true" outlineLevel="0" collapsed="false">
      <c r="B4" s="15" t="s">
        <v>545</v>
      </c>
      <c r="C4" s="15"/>
    </row>
    <row r="5" customFormat="false" ht="37.5" hidden="false" customHeight="true" outlineLevel="0" collapsed="false">
      <c r="B5" s="70" t="s">
        <v>546</v>
      </c>
      <c r="C5" s="71" t="s">
        <v>547</v>
      </c>
    </row>
    <row r="6" customFormat="false" ht="150" hidden="false" customHeight="true" outlineLevel="0" collapsed="false">
      <c r="B6" s="70" t="s">
        <v>548</v>
      </c>
      <c r="C6" s="71" t="s">
        <v>549</v>
      </c>
    </row>
    <row r="7" customFormat="false" ht="37.5" hidden="false" customHeight="true" outlineLevel="0" collapsed="false">
      <c r="B7" s="70" t="s">
        <v>550</v>
      </c>
      <c r="C7" s="71" t="s">
        <v>551</v>
      </c>
    </row>
    <row r="8" customFormat="false" ht="51.75" hidden="false" customHeight="true" outlineLevel="0" collapsed="false">
      <c r="B8" s="70" t="s">
        <v>552</v>
      </c>
      <c r="C8" s="71" t="s">
        <v>553</v>
      </c>
    </row>
    <row r="9" customFormat="false" ht="108" hidden="false" customHeight="true" outlineLevel="0" collapsed="false">
      <c r="B9" s="70" t="s">
        <v>554</v>
      </c>
      <c r="C9" s="71" t="s">
        <v>555</v>
      </c>
    </row>
    <row r="10" customFormat="false" ht="51.75" hidden="false" customHeight="true" outlineLevel="0" collapsed="false">
      <c r="B10" s="70" t="s">
        <v>556</v>
      </c>
      <c r="C10" s="71" t="s">
        <v>557</v>
      </c>
    </row>
    <row r="12" customFormat="false" ht="21.75" hidden="false" customHeight="true" outlineLevel="0" collapsed="false">
      <c r="B12" s="15" t="s">
        <v>558</v>
      </c>
      <c r="C12" s="15"/>
    </row>
    <row r="13" customFormat="false" ht="51.75" hidden="false" customHeight="true" outlineLevel="0" collapsed="false">
      <c r="B13" s="70" t="s">
        <v>559</v>
      </c>
      <c r="C13" s="71" t="s">
        <v>560</v>
      </c>
    </row>
    <row r="14" customFormat="false" ht="150" hidden="false" customHeight="true" outlineLevel="0" collapsed="false">
      <c r="B14" s="70" t="s">
        <v>561</v>
      </c>
      <c r="C14" s="71" t="s">
        <v>562</v>
      </c>
    </row>
    <row r="16" customFormat="false" ht="21.75" hidden="false" customHeight="true" outlineLevel="0" collapsed="false">
      <c r="B16" s="72" t="s">
        <v>563</v>
      </c>
      <c r="C16" s="72"/>
    </row>
    <row r="17" customFormat="false" ht="51.75" hidden="false" customHeight="true" outlineLevel="0" collapsed="false">
      <c r="B17" s="70" t="s">
        <v>564</v>
      </c>
      <c r="C17" s="71" t="s">
        <v>565</v>
      </c>
    </row>
    <row r="18" customFormat="false" ht="51.75" hidden="false" customHeight="true" outlineLevel="0" collapsed="false">
      <c r="B18" s="70" t="s">
        <v>566</v>
      </c>
      <c r="C18" s="71" t="s">
        <v>567</v>
      </c>
    </row>
    <row r="19" customFormat="false" ht="93.75" hidden="false" customHeight="true" outlineLevel="0" collapsed="false">
      <c r="B19" s="70" t="s">
        <v>568</v>
      </c>
      <c r="C19" s="71" t="s">
        <v>569</v>
      </c>
    </row>
    <row r="20" customFormat="false" ht="51.75" hidden="false" customHeight="true" outlineLevel="0" collapsed="false">
      <c r="B20" s="70" t="s">
        <v>570</v>
      </c>
      <c r="C20" s="71" t="s">
        <v>571</v>
      </c>
    </row>
    <row r="21" customFormat="false" ht="37.5" hidden="false" customHeight="true" outlineLevel="0" collapsed="false">
      <c r="B21" s="70" t="s">
        <v>572</v>
      </c>
      <c r="C21" s="71" t="s">
        <v>573</v>
      </c>
    </row>
    <row r="22" customFormat="false" ht="37.5" hidden="false" customHeight="true" outlineLevel="0" collapsed="false">
      <c r="B22" s="70" t="s">
        <v>574</v>
      </c>
      <c r="C22" s="71" t="s">
        <v>575</v>
      </c>
    </row>
    <row r="24" customFormat="false" ht="21.75" hidden="false" customHeight="true" outlineLevel="0" collapsed="false">
      <c r="B24" s="72" t="s">
        <v>576</v>
      </c>
      <c r="C24" s="72"/>
    </row>
    <row r="25" customFormat="false" ht="51.75" hidden="false" customHeight="true" outlineLevel="0" collapsed="false">
      <c r="B25" s="70" t="s">
        <v>577</v>
      </c>
      <c r="C25" s="71" t="s">
        <v>578</v>
      </c>
    </row>
    <row r="26" customFormat="false" ht="37.5" hidden="false" customHeight="true" outlineLevel="0" collapsed="false">
      <c r="B26" s="70" t="s">
        <v>566</v>
      </c>
      <c r="C26" s="71" t="s">
        <v>579</v>
      </c>
    </row>
    <row r="27" customFormat="false" ht="37.5" hidden="false" customHeight="true" outlineLevel="0" collapsed="false">
      <c r="B27" s="70" t="s">
        <v>580</v>
      </c>
      <c r="C27" s="71" t="s">
        <v>581</v>
      </c>
    </row>
    <row r="28" customFormat="false" ht="51.75" hidden="false" customHeight="true" outlineLevel="0" collapsed="false">
      <c r="B28" s="70" t="s">
        <v>570</v>
      </c>
      <c r="C28" s="71" t="s">
        <v>582</v>
      </c>
    </row>
    <row r="29" customFormat="false" ht="30" hidden="false" customHeight="true" outlineLevel="0" collapsed="false">
      <c r="B29" s="70" t="s">
        <v>583</v>
      </c>
      <c r="C29" s="71" t="s">
        <v>584</v>
      </c>
    </row>
    <row r="30" customFormat="false" ht="51.75" hidden="false" customHeight="true" outlineLevel="0" collapsed="false">
      <c r="B30" s="70" t="s">
        <v>585</v>
      </c>
      <c r="C30" s="71" t="s">
        <v>586</v>
      </c>
    </row>
    <row r="32" customFormat="false" ht="21.75" hidden="false" customHeight="true" outlineLevel="0" collapsed="false">
      <c r="B32" s="3" t="s">
        <v>587</v>
      </c>
      <c r="C32" s="3"/>
    </row>
    <row r="33" customFormat="false" ht="51.75" hidden="false" customHeight="true" outlineLevel="0" collapsed="false">
      <c r="B33" s="70" t="s">
        <v>588</v>
      </c>
      <c r="C33" s="71" t="s">
        <v>589</v>
      </c>
    </row>
    <row r="34" customFormat="false" ht="37.5" hidden="false" customHeight="true" outlineLevel="0" collapsed="false">
      <c r="B34" s="70" t="s">
        <v>590</v>
      </c>
      <c r="C34" s="71" t="s">
        <v>591</v>
      </c>
    </row>
    <row r="35" customFormat="false" ht="30" hidden="false" customHeight="true" outlineLevel="0" collapsed="false">
      <c r="B35" s="70" t="s">
        <v>592</v>
      </c>
      <c r="C35" s="71" t="s">
        <v>593</v>
      </c>
    </row>
    <row r="36" customFormat="false" ht="37.5" hidden="false" customHeight="true" outlineLevel="0" collapsed="false">
      <c r="B36" s="70" t="s">
        <v>580</v>
      </c>
      <c r="C36" s="71" t="s">
        <v>594</v>
      </c>
    </row>
    <row r="37" customFormat="false" ht="51.75" hidden="false" customHeight="true" outlineLevel="0" collapsed="false">
      <c r="B37" s="70" t="s">
        <v>595</v>
      </c>
      <c r="C37" s="71" t="s">
        <v>596</v>
      </c>
    </row>
    <row r="38" customFormat="false" ht="37.5" hidden="false" customHeight="true" outlineLevel="0" collapsed="false">
      <c r="B38" s="70" t="s">
        <v>597</v>
      </c>
      <c r="C38" s="71" t="s">
        <v>598</v>
      </c>
    </row>
    <row r="40" customFormat="false" ht="21.75" hidden="false" customHeight="true" outlineLevel="0" collapsed="false">
      <c r="B40" s="73" t="s">
        <v>599</v>
      </c>
      <c r="C40" s="73"/>
    </row>
    <row r="41" customFormat="false" ht="37.5" hidden="false" customHeight="true" outlineLevel="0" collapsed="false">
      <c r="B41" s="70" t="s">
        <v>600</v>
      </c>
      <c r="C41" s="71" t="s">
        <v>601</v>
      </c>
    </row>
    <row r="42" customFormat="false" ht="37.5" hidden="false" customHeight="true" outlineLevel="0" collapsed="false">
      <c r="B42" s="70" t="s">
        <v>566</v>
      </c>
      <c r="C42" s="71" t="s">
        <v>602</v>
      </c>
    </row>
    <row r="43" customFormat="false" ht="108" hidden="false" customHeight="true" outlineLevel="0" collapsed="false">
      <c r="B43" s="70" t="s">
        <v>603</v>
      </c>
      <c r="C43" s="71" t="s">
        <v>604</v>
      </c>
    </row>
    <row r="44" customFormat="false" ht="51.75" hidden="false" customHeight="true" outlineLevel="0" collapsed="false">
      <c r="B44" s="70" t="s">
        <v>570</v>
      </c>
      <c r="C44" s="71" t="s">
        <v>605</v>
      </c>
    </row>
    <row r="45" customFormat="false" ht="51.75" hidden="false" customHeight="true" outlineLevel="0" collapsed="false">
      <c r="B45" s="70" t="s">
        <v>606</v>
      </c>
      <c r="C45" s="71" t="s">
        <v>607</v>
      </c>
    </row>
    <row r="46" customFormat="false" ht="37.5" hidden="false" customHeight="true" outlineLevel="0" collapsed="false">
      <c r="B46" s="70" t="s">
        <v>608</v>
      </c>
      <c r="C46" s="71" t="s">
        <v>609</v>
      </c>
    </row>
    <row r="48" customFormat="false" ht="21.75" hidden="false" customHeight="true" outlineLevel="0" collapsed="false">
      <c r="B48" s="15" t="s">
        <v>610</v>
      </c>
      <c r="C48" s="15"/>
    </row>
    <row r="49" customFormat="false" ht="51.75" hidden="false" customHeight="true" outlineLevel="0" collapsed="false">
      <c r="B49" s="70" t="s">
        <v>611</v>
      </c>
      <c r="C49" s="71" t="s">
        <v>612</v>
      </c>
    </row>
    <row r="50" customFormat="false" ht="37.5" hidden="false" customHeight="true" outlineLevel="0" collapsed="false">
      <c r="B50" s="70" t="s">
        <v>566</v>
      </c>
      <c r="C50" s="71" t="s">
        <v>613</v>
      </c>
    </row>
    <row r="51" customFormat="false" ht="51.75" hidden="false" customHeight="true" outlineLevel="0" collapsed="false">
      <c r="B51" s="70" t="s">
        <v>580</v>
      </c>
      <c r="C51" s="71" t="s">
        <v>614</v>
      </c>
    </row>
    <row r="52" customFormat="false" ht="37.5" hidden="false" customHeight="true" outlineLevel="0" collapsed="false">
      <c r="B52" s="70" t="s">
        <v>570</v>
      </c>
      <c r="C52" s="71" t="s">
        <v>615</v>
      </c>
    </row>
    <row r="53" customFormat="false" ht="37.5" hidden="false" customHeight="true" outlineLevel="0" collapsed="false">
      <c r="B53" s="70" t="s">
        <v>616</v>
      </c>
      <c r="C53" s="71" t="s">
        <v>617</v>
      </c>
    </row>
    <row r="55" customFormat="false" ht="21.75" hidden="false" customHeight="true" outlineLevel="0" collapsed="false">
      <c r="B55" s="74" t="s">
        <v>618</v>
      </c>
      <c r="C55" s="74"/>
    </row>
    <row r="56" customFormat="false" ht="51.75" hidden="false" customHeight="true" outlineLevel="0" collapsed="false">
      <c r="B56" s="70" t="s">
        <v>619</v>
      </c>
      <c r="C56" s="71" t="s">
        <v>620</v>
      </c>
    </row>
    <row r="57" customFormat="false" ht="51.75" hidden="false" customHeight="true" outlineLevel="0" collapsed="false">
      <c r="B57" s="70" t="s">
        <v>621</v>
      </c>
      <c r="C57" s="71" t="s">
        <v>622</v>
      </c>
    </row>
    <row r="58" customFormat="false" ht="37.5" hidden="false" customHeight="true" outlineLevel="0" collapsed="false">
      <c r="B58" s="70" t="s">
        <v>623</v>
      </c>
      <c r="C58" s="71" t="s">
        <v>624</v>
      </c>
    </row>
    <row r="60" customFormat="false" ht="21.75" hidden="false" customHeight="true" outlineLevel="0" collapsed="false">
      <c r="B60" s="74" t="s">
        <v>625</v>
      </c>
      <c r="C60" s="74"/>
    </row>
    <row r="61" customFormat="false" ht="333" hidden="false" customHeight="true" outlineLevel="0" collapsed="false">
      <c r="B61" s="70" t="s">
        <v>626</v>
      </c>
      <c r="C61" s="75" t="s">
        <v>627</v>
      </c>
    </row>
    <row r="62" customFormat="false" ht="267.75" hidden="false" customHeight="true" outlineLevel="0" collapsed="false">
      <c r="B62" s="70" t="s">
        <v>628</v>
      </c>
      <c r="C62" s="75" t="s">
        <v>629</v>
      </c>
    </row>
    <row r="63" customFormat="false" ht="241.5" hidden="false" customHeight="true" outlineLevel="0" collapsed="false">
      <c r="B63" s="70" t="s">
        <v>630</v>
      </c>
      <c r="C63" s="75" t="s">
        <v>631</v>
      </c>
    </row>
  </sheetData>
  <mergeCells count="11">
    <mergeCell ref="A1:H1"/>
    <mergeCell ref="A2:H2"/>
    <mergeCell ref="B4:C4"/>
    <mergeCell ref="B12:C12"/>
    <mergeCell ref="B16:C16"/>
    <mergeCell ref="B24:C24"/>
    <mergeCell ref="B32:C32"/>
    <mergeCell ref="B40:C40"/>
    <mergeCell ref="B48:C48"/>
    <mergeCell ref="B55:C55"/>
    <mergeCell ref="B60:C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26"/>
    <col collapsed="false" customWidth="true" hidden="false" outlineLevel="0" max="4" min="4" style="0" width="24"/>
    <col collapsed="false" customWidth="true" hidden="false" outlineLevel="0" max="5" min="5" style="0" width="32"/>
    <col collapsed="false" customWidth="true" hidden="false" outlineLevel="0" max="6" min="6" style="0" width="34"/>
    <col collapsed="false" customWidth="true" hidden="false" outlineLevel="0" max="7" min="7" style="0" width="44"/>
    <col collapsed="false" customWidth="true" hidden="false" outlineLevel="0" max="8" min="8" style="0" width="30"/>
    <col collapsed="false" customWidth="true" hidden="false" outlineLevel="0" max="9" min="9" style="0" width="9"/>
    <col collapsed="false" customWidth="true" hidden="false" outlineLevel="0" max="10" min="10" style="0" width="40"/>
  </cols>
  <sheetData>
    <row r="1" customFormat="false" ht="30" hidden="false" customHeight="true" outlineLevel="0" collapsed="false">
      <c r="A1" s="1" t="s">
        <v>632</v>
      </c>
      <c r="B1" s="1"/>
      <c r="C1" s="1"/>
      <c r="D1" s="1"/>
      <c r="E1" s="1"/>
      <c r="F1" s="1"/>
      <c r="G1" s="1"/>
      <c r="H1" s="1"/>
      <c r="I1" s="1"/>
    </row>
    <row r="2" customFormat="false" ht="19.5" hidden="false" customHeight="true" outlineLevel="0" collapsed="false">
      <c r="A2" s="2" t="s">
        <v>633</v>
      </c>
      <c r="B2" s="2"/>
      <c r="C2" s="2"/>
      <c r="D2" s="2"/>
      <c r="E2" s="2"/>
      <c r="F2" s="2"/>
      <c r="G2" s="2"/>
      <c r="H2" s="2"/>
      <c r="I2" s="2"/>
    </row>
    <row r="4" customFormat="false" ht="33.75" hidden="false" customHeight="true" outlineLevel="0" collapsed="false">
      <c r="A4" s="8" t="s">
        <v>634</v>
      </c>
      <c r="B4" s="8" t="s">
        <v>130</v>
      </c>
      <c r="C4" s="8" t="s">
        <v>214</v>
      </c>
      <c r="D4" s="8" t="s">
        <v>635</v>
      </c>
      <c r="E4" s="8" t="s">
        <v>636</v>
      </c>
      <c r="F4" s="8" t="s">
        <v>637</v>
      </c>
      <c r="G4" s="8" t="s">
        <v>638</v>
      </c>
      <c r="H4" s="8" t="s">
        <v>639</v>
      </c>
      <c r="I4" s="8" t="s">
        <v>640</v>
      </c>
      <c r="J4" s="8" t="s">
        <v>641</v>
      </c>
    </row>
    <row r="5" customFormat="false" ht="73.5" hidden="false" customHeight="true" outlineLevel="0" collapsed="false">
      <c r="A5" s="76" t="s">
        <v>158</v>
      </c>
      <c r="B5" s="77" t="s">
        <v>159</v>
      </c>
      <c r="C5" s="23" t="s">
        <v>642</v>
      </c>
      <c r="D5" s="78" t="s">
        <v>283</v>
      </c>
      <c r="E5" s="79" t="s">
        <v>643</v>
      </c>
      <c r="F5" s="23" t="s">
        <v>319</v>
      </c>
      <c r="G5" s="23" t="s">
        <v>644</v>
      </c>
      <c r="H5" s="79" t="s">
        <v>645</v>
      </c>
      <c r="I5" s="80" t="n">
        <v>1300</v>
      </c>
      <c r="J5" s="23" t="s">
        <v>646</v>
      </c>
    </row>
    <row r="6" customFormat="false" ht="73.5" hidden="false" customHeight="true" outlineLevel="0" collapsed="false">
      <c r="A6" s="76" t="s">
        <v>647</v>
      </c>
      <c r="B6" s="77" t="s">
        <v>169</v>
      </c>
      <c r="C6" s="23" t="s">
        <v>648</v>
      </c>
      <c r="D6" s="78" t="s">
        <v>649</v>
      </c>
      <c r="E6" s="79" t="s">
        <v>643</v>
      </c>
      <c r="F6" s="23" t="s">
        <v>650</v>
      </c>
      <c r="G6" s="23" t="s">
        <v>651</v>
      </c>
      <c r="H6" s="79" t="s">
        <v>652</v>
      </c>
      <c r="I6" s="80" t="n">
        <v>1600</v>
      </c>
      <c r="J6" s="23" t="s">
        <v>653</v>
      </c>
    </row>
    <row r="7" customFormat="false" ht="73.5" hidden="false" customHeight="true" outlineLevel="0" collapsed="false">
      <c r="A7" s="76" t="s">
        <v>654</v>
      </c>
      <c r="B7" s="77" t="s">
        <v>169</v>
      </c>
      <c r="C7" s="23" t="s">
        <v>655</v>
      </c>
      <c r="D7" s="78" t="s">
        <v>656</v>
      </c>
      <c r="E7" s="79" t="s">
        <v>643</v>
      </c>
      <c r="F7" s="23" t="s">
        <v>657</v>
      </c>
      <c r="G7" s="23" t="s">
        <v>658</v>
      </c>
      <c r="H7" s="79" t="s">
        <v>659</v>
      </c>
      <c r="I7" s="80" t="n">
        <v>1025</v>
      </c>
      <c r="J7" s="23" t="s">
        <v>660</v>
      </c>
    </row>
    <row r="8" customFormat="false" ht="73.5" hidden="false" customHeight="true" outlineLevel="0" collapsed="false">
      <c r="A8" s="76" t="s">
        <v>218</v>
      </c>
      <c r="B8" s="77" t="s">
        <v>219</v>
      </c>
      <c r="C8" s="23" t="s">
        <v>661</v>
      </c>
      <c r="D8" s="78" t="s">
        <v>277</v>
      </c>
      <c r="E8" s="79" t="s">
        <v>643</v>
      </c>
      <c r="F8" s="23" t="s">
        <v>275</v>
      </c>
      <c r="G8" s="23" t="s">
        <v>662</v>
      </c>
      <c r="H8" s="79" t="s">
        <v>663</v>
      </c>
      <c r="I8" s="80"/>
      <c r="J8" s="23" t="s">
        <v>664</v>
      </c>
    </row>
    <row r="9" customFormat="false" ht="73.5" hidden="false" customHeight="true" outlineLevel="0" collapsed="false">
      <c r="A9" s="76" t="s">
        <v>228</v>
      </c>
      <c r="B9" s="77" t="s">
        <v>229</v>
      </c>
      <c r="C9" s="23" t="s">
        <v>665</v>
      </c>
      <c r="D9" s="78" t="s">
        <v>277</v>
      </c>
      <c r="E9" s="79" t="s">
        <v>643</v>
      </c>
      <c r="F9" s="23" t="s">
        <v>309</v>
      </c>
      <c r="G9" s="23" t="s">
        <v>666</v>
      </c>
      <c r="H9" s="79" t="s">
        <v>667</v>
      </c>
      <c r="I9" s="80"/>
      <c r="J9" s="23" t="s">
        <v>668</v>
      </c>
    </row>
    <row r="10" customFormat="false" ht="73.5" hidden="false" customHeight="true" outlineLevel="0" collapsed="false">
      <c r="A10" s="76" t="s">
        <v>223</v>
      </c>
      <c r="B10" s="77" t="s">
        <v>224</v>
      </c>
      <c r="C10" s="23" t="s">
        <v>669</v>
      </c>
      <c r="D10" s="78" t="s">
        <v>283</v>
      </c>
      <c r="E10" s="79" t="s">
        <v>643</v>
      </c>
      <c r="F10" s="23" t="s">
        <v>292</v>
      </c>
      <c r="G10" s="23" t="s">
        <v>670</v>
      </c>
      <c r="H10" s="79" t="s">
        <v>671</v>
      </c>
      <c r="I10" s="80"/>
      <c r="J10" s="23" t="s">
        <v>672</v>
      </c>
    </row>
    <row r="11" customFormat="false" ht="73.5" hidden="false" customHeight="true" outlineLevel="0" collapsed="false">
      <c r="A11" s="76" t="s">
        <v>177</v>
      </c>
      <c r="B11" s="77" t="s">
        <v>178</v>
      </c>
      <c r="C11" s="23" t="s">
        <v>673</v>
      </c>
      <c r="D11" s="64" t="s">
        <v>268</v>
      </c>
      <c r="E11" s="67" t="s">
        <v>643</v>
      </c>
      <c r="F11" s="81" t="s">
        <v>674</v>
      </c>
      <c r="G11" s="23" t="s">
        <v>675</v>
      </c>
      <c r="H11" s="79" t="s">
        <v>676</v>
      </c>
      <c r="I11" s="80"/>
      <c r="J11" s="23" t="s">
        <v>677</v>
      </c>
    </row>
    <row r="12" customFormat="false" ht="73.5" hidden="false" customHeight="true" outlineLevel="0" collapsed="false">
      <c r="A12" s="76" t="s">
        <v>202</v>
      </c>
      <c r="B12" s="77" t="s">
        <v>178</v>
      </c>
      <c r="C12" s="23" t="s">
        <v>678</v>
      </c>
      <c r="D12" s="64" t="s">
        <v>268</v>
      </c>
      <c r="E12" s="67" t="s">
        <v>643</v>
      </c>
      <c r="F12" s="81" t="s">
        <v>674</v>
      </c>
      <c r="G12" s="23" t="s">
        <v>679</v>
      </c>
      <c r="H12" s="79" t="s">
        <v>680</v>
      </c>
      <c r="I12" s="80"/>
      <c r="J12" s="23" t="s">
        <v>681</v>
      </c>
    </row>
    <row r="13" customFormat="false" ht="73.5" hidden="false" customHeight="true" outlineLevel="0" collapsed="false">
      <c r="A13" s="76" t="s">
        <v>186</v>
      </c>
      <c r="B13" s="77" t="s">
        <v>187</v>
      </c>
      <c r="C13" s="23" t="s">
        <v>682</v>
      </c>
      <c r="D13" s="64" t="s">
        <v>268</v>
      </c>
      <c r="E13" s="67" t="s">
        <v>643</v>
      </c>
      <c r="F13" s="81" t="s">
        <v>674</v>
      </c>
      <c r="G13" s="23" t="s">
        <v>683</v>
      </c>
      <c r="H13" s="79" t="s">
        <v>684</v>
      </c>
      <c r="I13" s="80"/>
      <c r="J13" s="23" t="s">
        <v>685</v>
      </c>
    </row>
    <row r="14" customFormat="false" ht="73.5" hidden="false" customHeight="true" outlineLevel="0" collapsed="false">
      <c r="A14" s="76" t="s">
        <v>194</v>
      </c>
      <c r="B14" s="77" t="s">
        <v>195</v>
      </c>
      <c r="C14" s="23" t="s">
        <v>686</v>
      </c>
      <c r="D14" s="64" t="s">
        <v>268</v>
      </c>
      <c r="E14" s="67" t="s">
        <v>643</v>
      </c>
      <c r="F14" s="81" t="s">
        <v>674</v>
      </c>
      <c r="G14" s="23" t="s">
        <v>687</v>
      </c>
      <c r="H14" s="79" t="s">
        <v>688</v>
      </c>
      <c r="I14" s="80"/>
      <c r="J14" s="23" t="s">
        <v>689</v>
      </c>
    </row>
    <row r="16" customFormat="false" ht="15" hidden="false" customHeight="true" outlineLevel="0" collapsed="false">
      <c r="B16" s="82" t="s">
        <v>690</v>
      </c>
      <c r="C16" s="82"/>
      <c r="D16" s="82"/>
      <c r="E16" s="82"/>
      <c r="F16" s="82"/>
      <c r="G16" s="82"/>
      <c r="H16" s="82"/>
    </row>
    <row r="17" customFormat="false" ht="15" hidden="false" customHeight="false" outlineLevel="0" collapsed="false">
      <c r="B17" s="82"/>
      <c r="C17" s="82"/>
      <c r="D17" s="82"/>
      <c r="E17" s="82"/>
      <c r="F17" s="82"/>
      <c r="G17" s="82"/>
      <c r="H17" s="82"/>
    </row>
    <row r="18" customFormat="false" ht="15" hidden="false" customHeight="false" outlineLevel="0" collapsed="false">
      <c r="B18" s="82"/>
      <c r="C18" s="82"/>
      <c r="D18" s="82"/>
      <c r="E18" s="82"/>
      <c r="F18" s="82"/>
      <c r="G18" s="82"/>
      <c r="H18" s="82"/>
    </row>
  </sheetData>
  <autoFilter ref="A4:J14"/>
  <mergeCells count="3">
    <mergeCell ref="A1:I1"/>
    <mergeCell ref="A2:I2"/>
    <mergeCell ref="B16: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30"/>
    <col collapsed="false" customWidth="true" hidden="false" outlineLevel="0" max="4" min="4" style="0" width="19"/>
    <col collapsed="false" customWidth="true" hidden="false" outlineLevel="0" max="5" min="5" style="0" width="15"/>
    <col collapsed="false" customWidth="true" hidden="false" outlineLevel="0" max="6" min="6" style="0" width="50"/>
    <col collapsed="false" customWidth="true" hidden="false" outlineLevel="0" max="7" min="7" style="0" width="34"/>
  </cols>
  <sheetData>
    <row r="1" customFormat="false" ht="30" hidden="false" customHeight="true" outlineLevel="0" collapsed="false">
      <c r="A1" s="1" t="s">
        <v>691</v>
      </c>
      <c r="B1" s="1"/>
      <c r="C1" s="1"/>
      <c r="D1" s="1"/>
      <c r="E1" s="1"/>
      <c r="F1" s="1"/>
      <c r="G1" s="1"/>
    </row>
    <row r="2" customFormat="false" ht="19.5" hidden="false" customHeight="true" outlineLevel="0" collapsed="false">
      <c r="A2" s="2" t="s">
        <v>692</v>
      </c>
      <c r="B2" s="2"/>
      <c r="C2" s="2"/>
      <c r="D2" s="2"/>
      <c r="E2" s="2"/>
      <c r="F2" s="2"/>
      <c r="G2" s="2"/>
    </row>
    <row r="4" customFormat="false" ht="19.5" hidden="false" customHeight="true" outlineLevel="0" collapsed="false">
      <c r="B4" s="36" t="s">
        <v>693</v>
      </c>
      <c r="C4" s="36"/>
      <c r="D4" s="36"/>
      <c r="E4" s="36"/>
      <c r="F4" s="36"/>
      <c r="G4" s="36"/>
    </row>
    <row r="5" customFormat="false" ht="15" hidden="false" customHeight="true" outlineLevel="0" collapsed="false">
      <c r="B5" s="83" t="s">
        <v>694</v>
      </c>
      <c r="C5" s="83"/>
      <c r="D5" s="83"/>
      <c r="E5" s="83"/>
      <c r="F5" s="83"/>
      <c r="G5" s="83"/>
    </row>
    <row r="6" customFormat="false" ht="15" hidden="false" customHeight="false" outlineLevel="0" collapsed="false">
      <c r="B6" s="83"/>
      <c r="C6" s="83"/>
      <c r="D6" s="83"/>
      <c r="E6" s="83"/>
      <c r="F6" s="83"/>
      <c r="G6" s="83"/>
    </row>
    <row r="7" customFormat="false" ht="15" hidden="false" customHeight="false" outlineLevel="0" collapsed="false">
      <c r="B7" s="83"/>
      <c r="C7" s="83"/>
      <c r="D7" s="83"/>
      <c r="E7" s="83"/>
      <c r="F7" s="83"/>
      <c r="G7" s="83"/>
    </row>
    <row r="9" customFormat="false" ht="19.5" hidden="false" customHeight="true" outlineLevel="0" collapsed="false">
      <c r="B9" s="36" t="s">
        <v>695</v>
      </c>
      <c r="C9" s="36"/>
      <c r="D9" s="36"/>
      <c r="E9" s="36"/>
      <c r="F9" s="36"/>
      <c r="G9" s="36"/>
    </row>
    <row r="10" customFormat="false" ht="15" hidden="false" customHeight="true" outlineLevel="0" collapsed="false">
      <c r="B10" s="84" t="s">
        <v>696</v>
      </c>
      <c r="C10" s="84"/>
      <c r="D10" s="84"/>
      <c r="E10" s="84"/>
      <c r="F10" s="84"/>
      <c r="G10" s="84"/>
    </row>
    <row r="11" customFormat="false" ht="15" hidden="false" customHeight="false" outlineLevel="0" collapsed="false">
      <c r="B11" s="84"/>
      <c r="C11" s="84"/>
      <c r="D11" s="84"/>
      <c r="E11" s="84"/>
      <c r="F11" s="84"/>
      <c r="G11" s="84"/>
    </row>
    <row r="13" customFormat="false" ht="33.75" hidden="false" customHeight="true" outlineLevel="0" collapsed="false">
      <c r="B13" s="8" t="s">
        <v>697</v>
      </c>
      <c r="C13" s="8" t="s">
        <v>130</v>
      </c>
      <c r="D13" s="8" t="s">
        <v>262</v>
      </c>
      <c r="E13" s="8" t="s">
        <v>698</v>
      </c>
      <c r="F13" s="8" t="s">
        <v>699</v>
      </c>
      <c r="G13" s="8" t="s">
        <v>700</v>
      </c>
    </row>
    <row r="14" customFormat="false" ht="57.75" hidden="false" customHeight="true" outlineLevel="0" collapsed="false">
      <c r="B14" s="85" t="s">
        <v>507</v>
      </c>
      <c r="C14" s="57" t="s">
        <v>169</v>
      </c>
      <c r="D14" s="20" t="s">
        <v>282</v>
      </c>
      <c r="E14" s="20" t="s">
        <v>701</v>
      </c>
      <c r="F14" s="23" t="s">
        <v>702</v>
      </c>
      <c r="G14" s="78" t="s">
        <v>703</v>
      </c>
    </row>
    <row r="15" customFormat="false" ht="57.75" hidden="false" customHeight="true" outlineLevel="0" collapsed="false">
      <c r="B15" s="85" t="s">
        <v>510</v>
      </c>
      <c r="C15" s="57" t="s">
        <v>159</v>
      </c>
      <c r="D15" s="20" t="s">
        <v>320</v>
      </c>
      <c r="E15" s="20" t="s">
        <v>704</v>
      </c>
      <c r="F15" s="23" t="s">
        <v>705</v>
      </c>
      <c r="G15" s="81" t="s">
        <v>706</v>
      </c>
    </row>
    <row r="16" customFormat="false" ht="57.75" hidden="false" customHeight="true" outlineLevel="0" collapsed="false">
      <c r="B16" s="85" t="s">
        <v>468</v>
      </c>
      <c r="C16" s="57" t="s">
        <v>178</v>
      </c>
      <c r="D16" s="20" t="s">
        <v>707</v>
      </c>
      <c r="E16" s="20" t="s">
        <v>708</v>
      </c>
      <c r="F16" s="23" t="s">
        <v>709</v>
      </c>
      <c r="G16" s="81" t="s">
        <v>710</v>
      </c>
    </row>
    <row r="17" customFormat="false" ht="57.75" hidden="false" customHeight="true" outlineLevel="0" collapsed="false">
      <c r="B17" s="85" t="s">
        <v>468</v>
      </c>
      <c r="C17" s="57" t="s">
        <v>229</v>
      </c>
      <c r="D17" s="20" t="s">
        <v>310</v>
      </c>
      <c r="E17" s="20" t="s">
        <v>701</v>
      </c>
      <c r="F17" s="23" t="s">
        <v>711</v>
      </c>
      <c r="G17" s="81" t="s">
        <v>712</v>
      </c>
    </row>
    <row r="18" customFormat="false" ht="57.75" hidden="false" customHeight="true" outlineLevel="0" collapsed="false">
      <c r="B18" s="85" t="s">
        <v>474</v>
      </c>
      <c r="C18" s="57" t="s">
        <v>713</v>
      </c>
      <c r="D18" s="20" t="s">
        <v>267</v>
      </c>
      <c r="E18" s="20" t="s">
        <v>714</v>
      </c>
      <c r="F18" s="23" t="s">
        <v>715</v>
      </c>
      <c r="G18" s="81" t="s">
        <v>716</v>
      </c>
    </row>
    <row r="19" customFormat="false" ht="57.75" hidden="false" customHeight="true" outlineLevel="0" collapsed="false">
      <c r="B19" s="85" t="s">
        <v>474</v>
      </c>
      <c r="C19" s="57" t="s">
        <v>195</v>
      </c>
      <c r="D19" s="20" t="s">
        <v>302</v>
      </c>
      <c r="E19" s="20" t="s">
        <v>717</v>
      </c>
      <c r="F19" s="23" t="s">
        <v>718</v>
      </c>
      <c r="G19" s="81" t="s">
        <v>719</v>
      </c>
    </row>
    <row r="20" customFormat="false" ht="57.75" hidden="false" customHeight="true" outlineLevel="0" collapsed="false">
      <c r="B20" s="85" t="s">
        <v>474</v>
      </c>
      <c r="C20" s="57" t="s">
        <v>219</v>
      </c>
      <c r="D20" s="20" t="s">
        <v>276</v>
      </c>
      <c r="E20" s="20" t="s">
        <v>720</v>
      </c>
      <c r="F20" s="23" t="s">
        <v>721</v>
      </c>
      <c r="G20" s="81" t="s">
        <v>722</v>
      </c>
    </row>
    <row r="22" customFormat="false" ht="19.5" hidden="false" customHeight="true" outlineLevel="0" collapsed="false">
      <c r="B22" s="86" t="s">
        <v>723</v>
      </c>
      <c r="C22" s="86"/>
      <c r="D22" s="86"/>
      <c r="E22" s="86"/>
      <c r="F22" s="86"/>
      <c r="G22" s="86"/>
    </row>
    <row r="23" customFormat="false" ht="33.75" hidden="false" customHeight="true" outlineLevel="0" collapsed="false">
      <c r="B23" s="8" t="s">
        <v>724</v>
      </c>
      <c r="C23" s="8" t="s">
        <v>725</v>
      </c>
      <c r="D23" s="8" t="s">
        <v>726</v>
      </c>
      <c r="E23" s="8" t="s">
        <v>727</v>
      </c>
    </row>
    <row r="24" customFormat="false" ht="30" hidden="false" customHeight="true" outlineLevel="0" collapsed="false">
      <c r="B24" s="85" t="s">
        <v>728</v>
      </c>
      <c r="C24" s="21" t="s">
        <v>729</v>
      </c>
      <c r="D24" s="20" t="s">
        <v>730</v>
      </c>
      <c r="E24" s="23" t="s">
        <v>731</v>
      </c>
      <c r="F24" s="23"/>
      <c r="G24" s="23"/>
    </row>
    <row r="25" customFormat="false" ht="30" hidden="false" customHeight="true" outlineLevel="0" collapsed="false">
      <c r="B25" s="85" t="s">
        <v>732</v>
      </c>
      <c r="C25" s="21" t="s">
        <v>733</v>
      </c>
      <c r="D25" s="20" t="s">
        <v>734</v>
      </c>
      <c r="E25" s="23" t="s">
        <v>735</v>
      </c>
      <c r="F25" s="23"/>
      <c r="G25" s="23"/>
    </row>
    <row r="26" customFormat="false" ht="30" hidden="false" customHeight="true" outlineLevel="0" collapsed="false">
      <c r="B26" s="85" t="s">
        <v>736</v>
      </c>
      <c r="C26" s="21" t="s">
        <v>737</v>
      </c>
      <c r="D26" s="20" t="s">
        <v>738</v>
      </c>
      <c r="E26" s="23" t="s">
        <v>739</v>
      </c>
      <c r="F26" s="23"/>
      <c r="G26" s="23"/>
    </row>
    <row r="27" customFormat="false" ht="30" hidden="false" customHeight="true" outlineLevel="0" collapsed="false">
      <c r="B27" s="85" t="s">
        <v>740</v>
      </c>
      <c r="C27" s="21" t="s">
        <v>741</v>
      </c>
      <c r="D27" s="20" t="s">
        <v>742</v>
      </c>
      <c r="E27" s="23" t="s">
        <v>743</v>
      </c>
      <c r="F27" s="23"/>
      <c r="G27" s="23"/>
    </row>
    <row r="29" customFormat="false" ht="15" hidden="false" customHeight="true" outlineLevel="0" collapsed="false">
      <c r="B29" s="87" t="s">
        <v>744</v>
      </c>
      <c r="C29" s="87"/>
      <c r="D29" s="87"/>
      <c r="E29" s="87"/>
      <c r="F29" s="87"/>
      <c r="G29" s="87"/>
    </row>
    <row r="30" customFormat="false" ht="15" hidden="false" customHeight="false" outlineLevel="0" collapsed="false">
      <c r="B30" s="87"/>
      <c r="C30" s="87"/>
      <c r="D30" s="87"/>
      <c r="E30" s="87"/>
      <c r="F30" s="87"/>
      <c r="G30" s="87"/>
    </row>
    <row r="31" customFormat="false" ht="15" hidden="false" customHeight="false" outlineLevel="0" collapsed="false">
      <c r="B31" s="87"/>
      <c r="C31" s="87"/>
      <c r="D31" s="87"/>
      <c r="E31" s="87"/>
      <c r="F31" s="87"/>
      <c r="G31" s="87"/>
    </row>
  </sheetData>
  <mergeCells count="12">
    <mergeCell ref="A1:G1"/>
    <mergeCell ref="A2:G2"/>
    <mergeCell ref="B4:G4"/>
    <mergeCell ref="B5:G7"/>
    <mergeCell ref="B9:G9"/>
    <mergeCell ref="B10:G11"/>
    <mergeCell ref="B22:G22"/>
    <mergeCell ref="E24:G24"/>
    <mergeCell ref="E25:G25"/>
    <mergeCell ref="E26:G26"/>
    <mergeCell ref="E27:G27"/>
    <mergeCell ref="B29: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23B"/>
    <pageSetUpPr fitToPage="false"/>
  </sheetPr>
  <dimension ref="A1:C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2"/>
    <col collapsed="false" customWidth="true" hidden="false" outlineLevel="0" max="3" min="3" style="0" width="2"/>
  </cols>
  <sheetData>
    <row r="1" customFormat="false" ht="30" hidden="false" customHeight="true" outlineLevel="0" collapsed="false">
      <c r="A1" s="1" t="s">
        <v>745</v>
      </c>
      <c r="B1" s="1"/>
      <c r="C1" s="1"/>
    </row>
    <row r="2" customFormat="false" ht="19.5" hidden="false" customHeight="true" outlineLevel="0" collapsed="false">
      <c r="A2" s="2" t="s">
        <v>746</v>
      </c>
      <c r="B2" s="2"/>
      <c r="C2" s="2"/>
    </row>
    <row r="4" customFormat="false" ht="19.5" hidden="false" customHeight="true" outlineLevel="0" collapsed="false">
      <c r="B4" s="88" t="s">
        <v>747</v>
      </c>
    </row>
    <row r="5" customFormat="false" ht="16.5" hidden="false" customHeight="true" outlineLevel="0" collapsed="false">
      <c r="B5" s="89" t="s">
        <v>748</v>
      </c>
    </row>
    <row r="6" customFormat="false" ht="16.5" hidden="false" customHeight="true" outlineLevel="0" collapsed="false">
      <c r="B6" s="89" t="s">
        <v>749</v>
      </c>
    </row>
    <row r="7" customFormat="false" ht="16.5" hidden="false" customHeight="true" outlineLevel="0" collapsed="false">
      <c r="B7" s="89" t="s">
        <v>750</v>
      </c>
    </row>
    <row r="8" customFormat="false" ht="16.5" hidden="false" customHeight="true" outlineLevel="0" collapsed="false">
      <c r="B8" s="89" t="s">
        <v>751</v>
      </c>
    </row>
    <row r="9" customFormat="false" ht="16.5" hidden="false" customHeight="true" outlineLevel="0" collapsed="false">
      <c r="B9" s="89" t="s">
        <v>752</v>
      </c>
    </row>
    <row r="10" customFormat="false" ht="16.5" hidden="false" customHeight="true" outlineLevel="0" collapsed="false">
      <c r="B10" s="89"/>
    </row>
    <row r="11" customFormat="false" ht="16.5" hidden="false" customHeight="true" outlineLevel="0" collapsed="false">
      <c r="B11" s="89" t="s">
        <v>753</v>
      </c>
    </row>
    <row r="12" customFormat="false" ht="16.5" hidden="false" customHeight="true" outlineLevel="0" collapsed="false">
      <c r="B12" s="89" t="s">
        <v>754</v>
      </c>
    </row>
    <row r="13" customFormat="false" ht="16.5" hidden="false" customHeight="true" outlineLevel="0" collapsed="false">
      <c r="B13" s="89" t="s">
        <v>755</v>
      </c>
    </row>
    <row r="15" customFormat="false" ht="21" hidden="false" customHeight="true" outlineLevel="0" collapsed="false">
      <c r="B15" s="88" t="s">
        <v>756</v>
      </c>
    </row>
    <row r="16" customFormat="false" ht="15.75" hidden="false" customHeight="true" outlineLevel="0" collapsed="false">
      <c r="B16" s="90" t="s">
        <v>757</v>
      </c>
    </row>
    <row r="17" customFormat="false" ht="15.75" hidden="false" customHeight="true" outlineLevel="0" collapsed="false">
      <c r="B17" s="91" t="s">
        <v>758</v>
      </c>
    </row>
    <row r="19" customFormat="false" ht="18.75" hidden="false" customHeight="true" outlineLevel="0" collapsed="false">
      <c r="B19" s="92" t="s">
        <v>759</v>
      </c>
    </row>
    <row r="20" customFormat="false" ht="15" hidden="false" customHeight="true" outlineLevel="0" collapsed="false">
      <c r="B20" s="93" t="s">
        <v>760</v>
      </c>
    </row>
    <row r="21" customFormat="false" ht="15" hidden="false" customHeight="true" outlineLevel="0" collapsed="false">
      <c r="B21" s="93"/>
    </row>
    <row r="22" customFormat="false" ht="15" hidden="false" customHeight="true" outlineLevel="0" collapsed="false">
      <c r="B22" s="93" t="s">
        <v>761</v>
      </c>
    </row>
    <row r="23" customFormat="false" ht="15" hidden="false" customHeight="true" outlineLevel="0" collapsed="false">
      <c r="B23" s="93"/>
    </row>
    <row r="24" customFormat="false" ht="15" hidden="false" customHeight="true" outlineLevel="0" collapsed="false">
      <c r="B24" s="93" t="s">
        <v>762</v>
      </c>
    </row>
    <row r="25" customFormat="false" ht="15" hidden="false" customHeight="true" outlineLevel="0" collapsed="false">
      <c r="B25" s="93"/>
    </row>
    <row r="26" customFormat="false" ht="15" hidden="false" customHeight="true" outlineLevel="0" collapsed="false">
      <c r="B26" s="93" t="s">
        <v>763</v>
      </c>
    </row>
    <row r="27" customFormat="false" ht="15" hidden="false" customHeight="true" outlineLevel="0" collapsed="false">
      <c r="B27" s="93" t="s">
        <v>764</v>
      </c>
    </row>
    <row r="28" customFormat="false" ht="15" hidden="false" customHeight="true" outlineLevel="0" collapsed="false">
      <c r="B28" s="93" t="s">
        <v>765</v>
      </c>
    </row>
    <row r="29" customFormat="false" ht="15" hidden="false" customHeight="true" outlineLevel="0" collapsed="false">
      <c r="B29" s="93"/>
    </row>
    <row r="30" customFormat="false" ht="15" hidden="false" customHeight="true" outlineLevel="0" collapsed="false">
      <c r="B30" s="93" t="s">
        <v>766</v>
      </c>
    </row>
    <row r="32" customFormat="false" ht="18.75" hidden="false" customHeight="true" outlineLevel="0" collapsed="false">
      <c r="B32" s="94" t="s">
        <v>767</v>
      </c>
    </row>
    <row r="33" customFormat="false" ht="15" hidden="false" customHeight="true" outlineLevel="0" collapsed="false">
      <c r="A33" s="95" t="s">
        <v>768</v>
      </c>
      <c r="B33" s="96" t="s">
        <v>644</v>
      </c>
    </row>
    <row r="35" customFormat="false" ht="18.75" hidden="false" customHeight="true" outlineLevel="0" collapsed="false">
      <c r="B35" s="94" t="s">
        <v>769</v>
      </c>
    </row>
    <row r="36" customFormat="false" ht="15" hidden="false" customHeight="true" outlineLevel="0" collapsed="false">
      <c r="B36" s="93" t="s">
        <v>770</v>
      </c>
    </row>
    <row r="37" customFormat="false" ht="15" hidden="false" customHeight="true" outlineLevel="0" collapsed="false">
      <c r="B37" s="93"/>
    </row>
    <row r="38" customFormat="false" ht="15" hidden="false" customHeight="true" outlineLevel="0" collapsed="false">
      <c r="B38" s="93" t="s">
        <v>771</v>
      </c>
    </row>
    <row r="39" customFormat="false" ht="15" hidden="false" customHeight="true" outlineLevel="0" collapsed="false">
      <c r="B39" s="93"/>
    </row>
    <row r="40" customFormat="false" ht="15" hidden="false" customHeight="true" outlineLevel="0" collapsed="false">
      <c r="B40" s="93" t="s">
        <v>772</v>
      </c>
    </row>
    <row r="41" customFormat="false" ht="15" hidden="false" customHeight="true" outlineLevel="0" collapsed="false">
      <c r="B41" s="93"/>
    </row>
    <row r="42" customFormat="false" ht="15" hidden="false" customHeight="true" outlineLevel="0" collapsed="false">
      <c r="B42" s="93" t="s">
        <v>773</v>
      </c>
    </row>
    <row r="43" customFormat="false" ht="15" hidden="false" customHeight="true" outlineLevel="0" collapsed="false">
      <c r="B43" s="93" t="s">
        <v>774</v>
      </c>
    </row>
    <row r="44" customFormat="false" ht="15" hidden="false" customHeight="true" outlineLevel="0" collapsed="false">
      <c r="B44" s="93" t="s">
        <v>775</v>
      </c>
    </row>
    <row r="45" customFormat="false" ht="15" hidden="false" customHeight="true" outlineLevel="0" collapsed="false">
      <c r="B45" s="93"/>
    </row>
    <row r="46" customFormat="false" ht="15" hidden="false" customHeight="true" outlineLevel="0" collapsed="false">
      <c r="B46" s="93" t="s">
        <v>776</v>
      </c>
    </row>
    <row r="47" customFormat="false" ht="15" hidden="false" customHeight="true" outlineLevel="0" collapsed="false">
      <c r="B47" s="93"/>
    </row>
    <row r="48" customFormat="false" ht="15" hidden="false" customHeight="true" outlineLevel="0" collapsed="false">
      <c r="B48" s="93" t="s">
        <v>777</v>
      </c>
    </row>
    <row r="49" customFormat="false" ht="15" hidden="false" customHeight="true" outlineLevel="0" collapsed="false">
      <c r="B49" s="93"/>
    </row>
    <row r="50" customFormat="false" ht="15" hidden="false" customHeight="true" outlineLevel="0" collapsed="false">
      <c r="B50" s="93" t="s">
        <v>778</v>
      </c>
    </row>
    <row r="51" customFormat="false" ht="15" hidden="false" customHeight="true" outlineLevel="0" collapsed="false">
      <c r="B51" s="93" t="s">
        <v>779</v>
      </c>
    </row>
    <row r="52" customFormat="false" ht="15" hidden="false" customHeight="true" outlineLevel="0" collapsed="false">
      <c r="B52" s="93" t="s">
        <v>780</v>
      </c>
    </row>
    <row r="53" customFormat="false" ht="15" hidden="false" customHeight="true" outlineLevel="0" collapsed="false">
      <c r="B53" s="93" t="s">
        <v>781</v>
      </c>
    </row>
    <row r="57" customFormat="false" ht="21" hidden="false" customHeight="true" outlineLevel="0" collapsed="false">
      <c r="B57" s="88" t="s">
        <v>782</v>
      </c>
    </row>
    <row r="58" customFormat="false" ht="15.75" hidden="false" customHeight="true" outlineLevel="0" collapsed="false">
      <c r="B58" s="90" t="s">
        <v>783</v>
      </c>
    </row>
    <row r="59" customFormat="false" ht="15.75" hidden="false" customHeight="true" outlineLevel="0" collapsed="false">
      <c r="B59" s="91" t="s">
        <v>784</v>
      </c>
    </row>
    <row r="61" customFormat="false" ht="18.75" hidden="false" customHeight="true" outlineLevel="0" collapsed="false">
      <c r="B61" s="92" t="s">
        <v>785</v>
      </c>
    </row>
    <row r="62" customFormat="false" ht="15" hidden="false" customHeight="true" outlineLevel="0" collapsed="false">
      <c r="B62" s="93" t="s">
        <v>786</v>
      </c>
    </row>
    <row r="63" customFormat="false" ht="15" hidden="false" customHeight="true" outlineLevel="0" collapsed="false">
      <c r="B63" s="93"/>
    </row>
    <row r="64" customFormat="false" ht="15" hidden="false" customHeight="true" outlineLevel="0" collapsed="false">
      <c r="B64" s="93" t="s">
        <v>787</v>
      </c>
    </row>
    <row r="65" customFormat="false" ht="15" hidden="false" customHeight="true" outlineLevel="0" collapsed="false">
      <c r="B65" s="93"/>
    </row>
    <row r="66" customFormat="false" ht="15" hidden="false" customHeight="true" outlineLevel="0" collapsed="false">
      <c r="B66" s="93" t="s">
        <v>788</v>
      </c>
    </row>
    <row r="67" customFormat="false" ht="15" hidden="false" customHeight="true" outlineLevel="0" collapsed="false">
      <c r="B67" s="93"/>
    </row>
    <row r="68" customFormat="false" ht="15" hidden="false" customHeight="true" outlineLevel="0" collapsed="false">
      <c r="B68" s="93" t="s">
        <v>789</v>
      </c>
    </row>
    <row r="69" customFormat="false" ht="15" hidden="false" customHeight="true" outlineLevel="0" collapsed="false">
      <c r="B69" s="93"/>
    </row>
    <row r="70" customFormat="false" ht="15" hidden="false" customHeight="true" outlineLevel="0" collapsed="false">
      <c r="B70" s="93" t="s">
        <v>790</v>
      </c>
    </row>
    <row r="71" customFormat="false" ht="15" hidden="false" customHeight="true" outlineLevel="0" collapsed="false">
      <c r="B71" s="93"/>
    </row>
    <row r="72" customFormat="false" ht="15" hidden="false" customHeight="true" outlineLevel="0" collapsed="false">
      <c r="B72" s="93" t="s">
        <v>791</v>
      </c>
    </row>
    <row r="74" customFormat="false" ht="18.75" hidden="false" customHeight="true" outlineLevel="0" collapsed="false">
      <c r="B74" s="94" t="s">
        <v>792</v>
      </c>
    </row>
    <row r="75" customFormat="false" ht="15" hidden="false" customHeight="true" outlineLevel="0" collapsed="false">
      <c r="A75" s="95" t="s">
        <v>768</v>
      </c>
      <c r="B75" s="96" t="s">
        <v>651</v>
      </c>
    </row>
    <row r="77" customFormat="false" ht="18.75" hidden="false" customHeight="true" outlineLevel="0" collapsed="false">
      <c r="B77" s="94" t="s">
        <v>793</v>
      </c>
    </row>
    <row r="78" customFormat="false" ht="15" hidden="false" customHeight="true" outlineLevel="0" collapsed="false">
      <c r="B78" s="93" t="s">
        <v>794</v>
      </c>
    </row>
    <row r="79" customFormat="false" ht="15" hidden="false" customHeight="true" outlineLevel="0" collapsed="false">
      <c r="B79" s="93"/>
    </row>
    <row r="80" customFormat="false" ht="15" hidden="false" customHeight="true" outlineLevel="0" collapsed="false">
      <c r="B80" s="93" t="s">
        <v>770</v>
      </c>
    </row>
    <row r="81" customFormat="false" ht="15" hidden="false" customHeight="true" outlineLevel="0" collapsed="false">
      <c r="B81" s="93"/>
    </row>
    <row r="82" customFormat="false" ht="15" hidden="false" customHeight="true" outlineLevel="0" collapsed="false">
      <c r="B82" s="93" t="s">
        <v>795</v>
      </c>
    </row>
    <row r="83" customFormat="false" ht="15" hidden="false" customHeight="true" outlineLevel="0" collapsed="false">
      <c r="B83" s="93"/>
    </row>
    <row r="84" customFormat="false" ht="15" hidden="false" customHeight="true" outlineLevel="0" collapsed="false">
      <c r="B84" s="93" t="s">
        <v>796</v>
      </c>
    </row>
    <row r="85" customFormat="false" ht="15" hidden="false" customHeight="true" outlineLevel="0" collapsed="false">
      <c r="B85" s="93"/>
    </row>
    <row r="86" customFormat="false" ht="15" hidden="false" customHeight="true" outlineLevel="0" collapsed="false">
      <c r="B86" s="93" t="s">
        <v>797</v>
      </c>
    </row>
    <row r="87" customFormat="false" ht="15" hidden="false" customHeight="true" outlineLevel="0" collapsed="false">
      <c r="B87" s="93"/>
    </row>
    <row r="88" customFormat="false" ht="15" hidden="false" customHeight="true" outlineLevel="0" collapsed="false">
      <c r="B88" s="93" t="s">
        <v>798</v>
      </c>
    </row>
    <row r="89" customFormat="false" ht="15" hidden="false" customHeight="true" outlineLevel="0" collapsed="false">
      <c r="B89" s="93"/>
    </row>
    <row r="90" customFormat="false" ht="15" hidden="false" customHeight="true" outlineLevel="0" collapsed="false">
      <c r="B90" s="93" t="s">
        <v>778</v>
      </c>
    </row>
    <row r="91" customFormat="false" ht="15" hidden="false" customHeight="true" outlineLevel="0" collapsed="false">
      <c r="B91" s="93" t="s">
        <v>779</v>
      </c>
    </row>
    <row r="92" customFormat="false" ht="15" hidden="false" customHeight="true" outlineLevel="0" collapsed="false">
      <c r="B92" s="93" t="s">
        <v>781</v>
      </c>
    </row>
    <row r="96" customFormat="false" ht="21" hidden="false" customHeight="true" outlineLevel="0" collapsed="false">
      <c r="B96" s="88" t="s">
        <v>799</v>
      </c>
    </row>
    <row r="97" customFormat="false" ht="15.75" hidden="false" customHeight="true" outlineLevel="0" collapsed="false">
      <c r="B97" s="90" t="s">
        <v>800</v>
      </c>
    </row>
    <row r="98" customFormat="false" ht="15.75" hidden="false" customHeight="true" outlineLevel="0" collapsed="false">
      <c r="B98" s="91" t="s">
        <v>801</v>
      </c>
    </row>
    <row r="100" customFormat="false" ht="18.75" hidden="false" customHeight="true" outlineLevel="0" collapsed="false">
      <c r="B100" s="92" t="s">
        <v>802</v>
      </c>
    </row>
    <row r="101" customFormat="false" ht="15" hidden="false" customHeight="true" outlineLevel="0" collapsed="false">
      <c r="B101" s="93" t="s">
        <v>803</v>
      </c>
    </row>
    <row r="102" customFormat="false" ht="15" hidden="false" customHeight="true" outlineLevel="0" collapsed="false">
      <c r="B102" s="93"/>
    </row>
    <row r="103" customFormat="false" ht="15" hidden="false" customHeight="true" outlineLevel="0" collapsed="false">
      <c r="B103" s="93" t="s">
        <v>804</v>
      </c>
    </row>
    <row r="104" customFormat="false" ht="15" hidden="false" customHeight="true" outlineLevel="0" collapsed="false">
      <c r="B104" s="93" t="s">
        <v>805</v>
      </c>
    </row>
    <row r="105" customFormat="false" ht="15" hidden="false" customHeight="true" outlineLevel="0" collapsed="false">
      <c r="B105" s="93" t="s">
        <v>806</v>
      </c>
    </row>
    <row r="106" customFormat="false" ht="15" hidden="false" customHeight="true" outlineLevel="0" collapsed="false">
      <c r="B106" s="93"/>
    </row>
    <row r="107" customFormat="false" ht="15" hidden="false" customHeight="true" outlineLevel="0" collapsed="false">
      <c r="B107" s="93" t="s">
        <v>807</v>
      </c>
    </row>
    <row r="109" customFormat="false" ht="18.75" hidden="false" customHeight="true" outlineLevel="0" collapsed="false">
      <c r="B109" s="94" t="s">
        <v>808</v>
      </c>
    </row>
    <row r="110" customFormat="false" ht="15" hidden="false" customHeight="true" outlineLevel="0" collapsed="false">
      <c r="A110" s="95" t="s">
        <v>768</v>
      </c>
      <c r="B110" s="96" t="s">
        <v>658</v>
      </c>
    </row>
    <row r="112" customFormat="false" ht="18.75" hidden="false" customHeight="true" outlineLevel="0" collapsed="false">
      <c r="B112" s="94" t="s">
        <v>809</v>
      </c>
    </row>
    <row r="113" customFormat="false" ht="15" hidden="false" customHeight="true" outlineLevel="0" collapsed="false">
      <c r="B113" s="93" t="s">
        <v>770</v>
      </c>
    </row>
    <row r="114" customFormat="false" ht="15" hidden="false" customHeight="true" outlineLevel="0" collapsed="false">
      <c r="B114" s="93"/>
    </row>
    <row r="115" customFormat="false" ht="15" hidden="false" customHeight="true" outlineLevel="0" collapsed="false">
      <c r="B115" s="93" t="s">
        <v>810</v>
      </c>
    </row>
    <row r="116" customFormat="false" ht="15" hidden="false" customHeight="true" outlineLevel="0" collapsed="false">
      <c r="B116" s="93"/>
    </row>
    <row r="117" customFormat="false" ht="15" hidden="false" customHeight="true" outlineLevel="0" collapsed="false">
      <c r="B117" s="93" t="s">
        <v>811</v>
      </c>
    </row>
    <row r="118" customFormat="false" ht="15" hidden="false" customHeight="true" outlineLevel="0" collapsed="false">
      <c r="B118" s="93"/>
    </row>
    <row r="119" customFormat="false" ht="15" hidden="false" customHeight="true" outlineLevel="0" collapsed="false">
      <c r="B119" s="93" t="s">
        <v>812</v>
      </c>
    </row>
    <row r="120" customFormat="false" ht="15" hidden="false" customHeight="true" outlineLevel="0" collapsed="false">
      <c r="B120" s="93"/>
    </row>
    <row r="121" customFormat="false" ht="15" hidden="false" customHeight="true" outlineLevel="0" collapsed="false">
      <c r="B121" s="93" t="s">
        <v>813</v>
      </c>
    </row>
    <row r="122" customFormat="false" ht="15" hidden="false" customHeight="true" outlineLevel="0" collapsed="false">
      <c r="B122" s="93"/>
    </row>
    <row r="123" customFormat="false" ht="15" hidden="false" customHeight="true" outlineLevel="0" collapsed="false">
      <c r="B123" s="93" t="s">
        <v>814</v>
      </c>
    </row>
    <row r="124" customFormat="false" ht="15" hidden="false" customHeight="true" outlineLevel="0" collapsed="false">
      <c r="B124" s="93"/>
    </row>
    <row r="125" customFormat="false" ht="15" hidden="false" customHeight="true" outlineLevel="0" collapsed="false">
      <c r="B125" s="93" t="s">
        <v>778</v>
      </c>
    </row>
    <row r="126" customFormat="false" ht="15" hidden="false" customHeight="true" outlineLevel="0" collapsed="false">
      <c r="B126" s="93" t="s">
        <v>779</v>
      </c>
    </row>
    <row r="127" customFormat="false" ht="15" hidden="false" customHeight="true" outlineLevel="0" collapsed="false">
      <c r="B127" s="93" t="s">
        <v>781</v>
      </c>
    </row>
    <row r="131" customFormat="false" ht="21" hidden="false" customHeight="true" outlineLevel="0" collapsed="false">
      <c r="B131" s="88" t="s">
        <v>815</v>
      </c>
    </row>
    <row r="132" customFormat="false" ht="15.75" hidden="false" customHeight="true" outlineLevel="0" collapsed="false">
      <c r="B132" s="90" t="s">
        <v>816</v>
      </c>
    </row>
    <row r="133" customFormat="false" ht="15.75" hidden="false" customHeight="true" outlineLevel="0" collapsed="false">
      <c r="B133" s="91" t="s">
        <v>817</v>
      </c>
    </row>
    <row r="135" customFormat="false" ht="18.75" hidden="false" customHeight="true" outlineLevel="0" collapsed="false">
      <c r="B135" s="92" t="s">
        <v>818</v>
      </c>
    </row>
    <row r="136" customFormat="false" ht="15" hidden="false" customHeight="true" outlineLevel="0" collapsed="false">
      <c r="B136" s="93" t="s">
        <v>819</v>
      </c>
    </row>
    <row r="137" customFormat="false" ht="15" hidden="false" customHeight="true" outlineLevel="0" collapsed="false">
      <c r="B137" s="93"/>
    </row>
    <row r="138" customFormat="false" ht="15" hidden="false" customHeight="true" outlineLevel="0" collapsed="false">
      <c r="B138" s="93" t="s">
        <v>820</v>
      </c>
    </row>
    <row r="139" customFormat="false" ht="15" hidden="false" customHeight="true" outlineLevel="0" collapsed="false">
      <c r="B139" s="93"/>
    </row>
    <row r="140" customFormat="false" ht="15" hidden="false" customHeight="true" outlineLevel="0" collapsed="false">
      <c r="B140" s="93" t="s">
        <v>761</v>
      </c>
    </row>
    <row r="141" customFormat="false" ht="15" hidden="false" customHeight="true" outlineLevel="0" collapsed="false">
      <c r="B141" s="93"/>
    </row>
    <row r="142" customFormat="false" ht="15" hidden="false" customHeight="true" outlineLevel="0" collapsed="false">
      <c r="B142" s="93" t="s">
        <v>821</v>
      </c>
    </row>
    <row r="144" customFormat="false" ht="18.75" hidden="false" customHeight="true" outlineLevel="0" collapsed="false">
      <c r="B144" s="94" t="s">
        <v>822</v>
      </c>
    </row>
    <row r="145" customFormat="false" ht="15" hidden="false" customHeight="true" outlineLevel="0" collapsed="false">
      <c r="A145" s="95" t="s">
        <v>768</v>
      </c>
      <c r="B145" s="96" t="s">
        <v>662</v>
      </c>
    </row>
    <row r="147" customFormat="false" ht="18.75" hidden="false" customHeight="true" outlineLevel="0" collapsed="false">
      <c r="B147" s="94" t="s">
        <v>823</v>
      </c>
    </row>
    <row r="148" customFormat="false" ht="15" hidden="false" customHeight="true" outlineLevel="0" collapsed="false">
      <c r="B148" s="93" t="s">
        <v>770</v>
      </c>
    </row>
    <row r="149" customFormat="false" ht="15" hidden="false" customHeight="true" outlineLevel="0" collapsed="false">
      <c r="B149" s="93"/>
    </row>
    <row r="150" customFormat="false" ht="15" hidden="false" customHeight="true" outlineLevel="0" collapsed="false">
      <c r="B150" s="93" t="s">
        <v>824</v>
      </c>
    </row>
    <row r="151" customFormat="false" ht="15" hidden="false" customHeight="true" outlineLevel="0" collapsed="false">
      <c r="B151" s="93"/>
    </row>
    <row r="152" customFormat="false" ht="15" hidden="false" customHeight="true" outlineLevel="0" collapsed="false">
      <c r="B152" s="93" t="s">
        <v>825</v>
      </c>
    </row>
    <row r="153" customFormat="false" ht="15" hidden="false" customHeight="true" outlineLevel="0" collapsed="false">
      <c r="B153" s="93"/>
    </row>
    <row r="154" customFormat="false" ht="15" hidden="false" customHeight="true" outlineLevel="0" collapsed="false">
      <c r="B154" s="93" t="s">
        <v>772</v>
      </c>
    </row>
    <row r="155" customFormat="false" ht="15" hidden="false" customHeight="true" outlineLevel="0" collapsed="false">
      <c r="B155" s="93"/>
    </row>
    <row r="156" customFormat="false" ht="15" hidden="false" customHeight="true" outlineLevel="0" collapsed="false">
      <c r="B156" s="93" t="s">
        <v>826</v>
      </c>
    </row>
    <row r="157" customFormat="false" ht="15" hidden="false" customHeight="true" outlineLevel="0" collapsed="false">
      <c r="B157" s="93"/>
    </row>
    <row r="158" customFormat="false" ht="15" hidden="false" customHeight="true" outlineLevel="0" collapsed="false">
      <c r="B158" s="93" t="s">
        <v>778</v>
      </c>
    </row>
    <row r="159" customFormat="false" ht="15" hidden="false" customHeight="true" outlineLevel="0" collapsed="false">
      <c r="B159" s="93" t="s">
        <v>779</v>
      </c>
    </row>
    <row r="160" customFormat="false" ht="15" hidden="false" customHeight="true" outlineLevel="0" collapsed="false">
      <c r="B160" s="93" t="s">
        <v>780</v>
      </c>
    </row>
    <row r="161" customFormat="false" ht="15" hidden="false" customHeight="true" outlineLevel="0" collapsed="false">
      <c r="B161" s="93" t="s">
        <v>781</v>
      </c>
    </row>
    <row r="165" customFormat="false" ht="21" hidden="false" customHeight="true" outlineLevel="0" collapsed="false">
      <c r="B165" s="88" t="s">
        <v>827</v>
      </c>
    </row>
    <row r="166" customFormat="false" ht="15.75" hidden="false" customHeight="true" outlineLevel="0" collapsed="false">
      <c r="B166" s="90" t="s">
        <v>816</v>
      </c>
    </row>
    <row r="167" customFormat="false" ht="15.75" hidden="false" customHeight="true" outlineLevel="0" collapsed="false">
      <c r="B167" s="91" t="s">
        <v>828</v>
      </c>
    </row>
    <row r="169" customFormat="false" ht="18.75" hidden="false" customHeight="true" outlineLevel="0" collapsed="false">
      <c r="B169" s="92" t="s">
        <v>829</v>
      </c>
    </row>
    <row r="170" customFormat="false" ht="15" hidden="false" customHeight="true" outlineLevel="0" collapsed="false">
      <c r="B170" s="93" t="s">
        <v>830</v>
      </c>
    </row>
    <row r="171" customFormat="false" ht="15" hidden="false" customHeight="true" outlineLevel="0" collapsed="false">
      <c r="B171" s="93"/>
    </row>
    <row r="172" customFormat="false" ht="15" hidden="false" customHeight="true" outlineLevel="0" collapsed="false">
      <c r="B172" s="93" t="s">
        <v>831</v>
      </c>
    </row>
    <row r="173" customFormat="false" ht="15" hidden="false" customHeight="true" outlineLevel="0" collapsed="false">
      <c r="B173" s="93"/>
    </row>
    <row r="174" customFormat="false" ht="15" hidden="false" customHeight="true" outlineLevel="0" collapsed="false">
      <c r="B174" s="93" t="s">
        <v>832</v>
      </c>
    </row>
    <row r="175" customFormat="false" ht="15" hidden="false" customHeight="true" outlineLevel="0" collapsed="false">
      <c r="B175" s="93"/>
    </row>
    <row r="176" customFormat="false" ht="15" hidden="false" customHeight="true" outlineLevel="0" collapsed="false">
      <c r="B176" s="93" t="s">
        <v>833</v>
      </c>
    </row>
    <row r="178" customFormat="false" ht="18.75" hidden="false" customHeight="true" outlineLevel="0" collapsed="false">
      <c r="B178" s="94" t="s">
        <v>834</v>
      </c>
    </row>
    <row r="179" customFormat="false" ht="15" hidden="false" customHeight="true" outlineLevel="0" collapsed="false">
      <c r="A179" s="95" t="s">
        <v>768</v>
      </c>
      <c r="B179" s="96" t="s">
        <v>666</v>
      </c>
    </row>
    <row r="181" customFormat="false" ht="18.75" hidden="false" customHeight="true" outlineLevel="0" collapsed="false">
      <c r="B181" s="94" t="s">
        <v>835</v>
      </c>
    </row>
    <row r="182" customFormat="false" ht="15" hidden="false" customHeight="true" outlineLevel="0" collapsed="false">
      <c r="B182" s="93" t="s">
        <v>770</v>
      </c>
    </row>
    <row r="183" customFormat="false" ht="15" hidden="false" customHeight="true" outlineLevel="0" collapsed="false">
      <c r="B183" s="93"/>
    </row>
    <row r="184" customFormat="false" ht="15" hidden="false" customHeight="true" outlineLevel="0" collapsed="false">
      <c r="B184" s="93" t="s">
        <v>836</v>
      </c>
    </row>
    <row r="185" customFormat="false" ht="15" hidden="false" customHeight="true" outlineLevel="0" collapsed="false">
      <c r="B185" s="93"/>
    </row>
    <row r="186" customFormat="false" ht="15" hidden="false" customHeight="true" outlineLevel="0" collapsed="false">
      <c r="B186" s="93" t="s">
        <v>772</v>
      </c>
    </row>
    <row r="187" customFormat="false" ht="15" hidden="false" customHeight="true" outlineLevel="0" collapsed="false">
      <c r="B187" s="93"/>
    </row>
    <row r="188" customFormat="false" ht="15" hidden="false" customHeight="true" outlineLevel="0" collapsed="false">
      <c r="B188" s="93" t="s">
        <v>837</v>
      </c>
    </row>
    <row r="189" customFormat="false" ht="15" hidden="false" customHeight="true" outlineLevel="0" collapsed="false">
      <c r="B189" s="93"/>
    </row>
    <row r="190" customFormat="false" ht="15" hidden="false" customHeight="true" outlineLevel="0" collapsed="false">
      <c r="B190" s="93" t="s">
        <v>838</v>
      </c>
    </row>
    <row r="191" customFormat="false" ht="15" hidden="false" customHeight="true" outlineLevel="0" collapsed="false">
      <c r="B191" s="93"/>
    </row>
    <row r="192" customFormat="false" ht="15" hidden="false" customHeight="true" outlineLevel="0" collapsed="false">
      <c r="B192" s="93" t="s">
        <v>839</v>
      </c>
    </row>
    <row r="193" customFormat="false" ht="15" hidden="false" customHeight="true" outlineLevel="0" collapsed="false">
      <c r="B193" s="93"/>
    </row>
    <row r="194" customFormat="false" ht="15" hidden="false" customHeight="true" outlineLevel="0" collapsed="false">
      <c r="B194" s="93" t="s">
        <v>778</v>
      </c>
    </row>
    <row r="195" customFormat="false" ht="15" hidden="false" customHeight="true" outlineLevel="0" collapsed="false">
      <c r="B195" s="93" t="s">
        <v>779</v>
      </c>
    </row>
    <row r="196" customFormat="false" ht="15" hidden="false" customHeight="true" outlineLevel="0" collapsed="false">
      <c r="B196" s="93" t="s">
        <v>780</v>
      </c>
    </row>
    <row r="197" customFormat="false" ht="15" hidden="false" customHeight="true" outlineLevel="0" collapsed="false">
      <c r="B197" s="93" t="s">
        <v>781</v>
      </c>
    </row>
    <row r="201" customFormat="false" ht="21" hidden="false" customHeight="true" outlineLevel="0" collapsed="false">
      <c r="B201" s="88" t="s">
        <v>840</v>
      </c>
    </row>
    <row r="202" customFormat="false" ht="15.75" hidden="false" customHeight="true" outlineLevel="0" collapsed="false">
      <c r="B202" s="90" t="s">
        <v>841</v>
      </c>
    </row>
    <row r="203" customFormat="false" ht="15.75" hidden="false" customHeight="true" outlineLevel="0" collapsed="false">
      <c r="B203" s="91" t="s">
        <v>842</v>
      </c>
    </row>
    <row r="205" customFormat="false" ht="18.75" hidden="false" customHeight="true" outlineLevel="0" collapsed="false">
      <c r="B205" s="92" t="s">
        <v>843</v>
      </c>
    </row>
    <row r="206" customFormat="false" ht="15" hidden="false" customHeight="true" outlineLevel="0" collapsed="false">
      <c r="B206" s="93" t="s">
        <v>844</v>
      </c>
    </row>
    <row r="207" customFormat="false" ht="15" hidden="false" customHeight="true" outlineLevel="0" collapsed="false">
      <c r="B207" s="93"/>
    </row>
    <row r="208" customFormat="false" ht="15" hidden="false" customHeight="true" outlineLevel="0" collapsed="false">
      <c r="B208" s="93" t="s">
        <v>845</v>
      </c>
    </row>
    <row r="209" customFormat="false" ht="15" hidden="false" customHeight="true" outlineLevel="0" collapsed="false">
      <c r="B209" s="93"/>
    </row>
    <row r="210" customFormat="false" ht="15" hidden="false" customHeight="true" outlineLevel="0" collapsed="false">
      <c r="B210" s="93" t="s">
        <v>846</v>
      </c>
    </row>
    <row r="212" customFormat="false" ht="18.75" hidden="false" customHeight="true" outlineLevel="0" collapsed="false">
      <c r="B212" s="94" t="s">
        <v>847</v>
      </c>
    </row>
    <row r="213" customFormat="false" ht="15" hidden="false" customHeight="true" outlineLevel="0" collapsed="false">
      <c r="A213" s="95" t="s">
        <v>768</v>
      </c>
      <c r="B213" s="96" t="s">
        <v>670</v>
      </c>
    </row>
    <row r="215" customFormat="false" ht="18.75" hidden="false" customHeight="true" outlineLevel="0" collapsed="false">
      <c r="B215" s="94" t="s">
        <v>848</v>
      </c>
    </row>
    <row r="216" customFormat="false" ht="15" hidden="false" customHeight="true" outlineLevel="0" collapsed="false">
      <c r="B216" s="93" t="s">
        <v>770</v>
      </c>
    </row>
    <row r="217" customFormat="false" ht="15" hidden="false" customHeight="true" outlineLevel="0" collapsed="false">
      <c r="B217" s="93"/>
    </row>
    <row r="218" customFormat="false" ht="15" hidden="false" customHeight="true" outlineLevel="0" collapsed="false">
      <c r="B218" s="93" t="s">
        <v>849</v>
      </c>
    </row>
    <row r="219" customFormat="false" ht="15" hidden="false" customHeight="true" outlineLevel="0" collapsed="false">
      <c r="B219" s="93"/>
    </row>
    <row r="220" customFormat="false" ht="15" hidden="false" customHeight="true" outlineLevel="0" collapsed="false">
      <c r="B220" s="93" t="s">
        <v>850</v>
      </c>
    </row>
    <row r="221" customFormat="false" ht="15" hidden="false" customHeight="true" outlineLevel="0" collapsed="false">
      <c r="B221" s="93"/>
    </row>
    <row r="222" customFormat="false" ht="15" hidden="false" customHeight="true" outlineLevel="0" collapsed="false">
      <c r="B222" s="93" t="s">
        <v>851</v>
      </c>
    </row>
    <row r="223" customFormat="false" ht="15" hidden="false" customHeight="true" outlineLevel="0" collapsed="false">
      <c r="B223" s="93"/>
    </row>
    <row r="224" customFormat="false" ht="15" hidden="false" customHeight="true" outlineLevel="0" collapsed="false">
      <c r="B224" s="93" t="s">
        <v>852</v>
      </c>
    </row>
    <row r="225" customFormat="false" ht="15" hidden="false" customHeight="true" outlineLevel="0" collapsed="false">
      <c r="B225" s="93"/>
    </row>
    <row r="226" customFormat="false" ht="15" hidden="false" customHeight="true" outlineLevel="0" collapsed="false">
      <c r="B226" s="93" t="s">
        <v>778</v>
      </c>
    </row>
    <row r="227" customFormat="false" ht="15" hidden="false" customHeight="true" outlineLevel="0" collapsed="false">
      <c r="B227" s="93" t="s">
        <v>779</v>
      </c>
    </row>
    <row r="228" customFormat="false" ht="15" hidden="false" customHeight="true" outlineLevel="0" collapsed="false">
      <c r="B228" s="93" t="s">
        <v>780</v>
      </c>
    </row>
    <row r="229" customFormat="false" ht="15" hidden="false" customHeight="true" outlineLevel="0" collapsed="false">
      <c r="B229" s="93" t="s">
        <v>781</v>
      </c>
    </row>
    <row r="233" customFormat="false" ht="21" hidden="false" customHeight="true" outlineLevel="0" collapsed="false">
      <c r="B233" s="88" t="s">
        <v>853</v>
      </c>
    </row>
    <row r="234" customFormat="false" ht="15.75" hidden="false" customHeight="true" outlineLevel="0" collapsed="false">
      <c r="B234" s="90" t="s">
        <v>854</v>
      </c>
    </row>
    <row r="235" customFormat="false" ht="15.75" hidden="false" customHeight="true" outlineLevel="0" collapsed="false">
      <c r="B235" s="91" t="s">
        <v>855</v>
      </c>
    </row>
    <row r="237" customFormat="false" ht="18.75" hidden="false" customHeight="true" outlineLevel="0" collapsed="false">
      <c r="B237" s="92" t="s">
        <v>856</v>
      </c>
    </row>
    <row r="238" customFormat="false" ht="15" hidden="false" customHeight="true" outlineLevel="0" collapsed="false">
      <c r="B238" s="93" t="s">
        <v>857</v>
      </c>
    </row>
    <row r="240" customFormat="false" ht="18.75" hidden="false" customHeight="true" outlineLevel="0" collapsed="false">
      <c r="B240" s="94" t="s">
        <v>858</v>
      </c>
    </row>
    <row r="241" customFormat="false" ht="15" hidden="false" customHeight="true" outlineLevel="0" collapsed="false">
      <c r="A241" s="95" t="s">
        <v>768</v>
      </c>
      <c r="B241" s="96" t="s">
        <v>675</v>
      </c>
    </row>
    <row r="243" customFormat="false" ht="18.75" hidden="false" customHeight="true" outlineLevel="0" collapsed="false">
      <c r="B243" s="94" t="s">
        <v>859</v>
      </c>
    </row>
    <row r="244" customFormat="false" ht="15" hidden="false" customHeight="true" outlineLevel="0" collapsed="false">
      <c r="B244" s="93" t="s">
        <v>860</v>
      </c>
    </row>
    <row r="245" customFormat="false" ht="15" hidden="false" customHeight="true" outlineLevel="0" collapsed="false">
      <c r="B245" s="93"/>
    </row>
    <row r="246" customFormat="false" ht="15" hidden="false" customHeight="true" outlineLevel="0" collapsed="false">
      <c r="B246" s="93" t="s">
        <v>861</v>
      </c>
    </row>
    <row r="247" customFormat="false" ht="15" hidden="false" customHeight="true" outlineLevel="0" collapsed="false">
      <c r="B247" s="93"/>
    </row>
    <row r="248" customFormat="false" ht="15" hidden="false" customHeight="true" outlineLevel="0" collapsed="false">
      <c r="B248" s="93" t="s">
        <v>862</v>
      </c>
    </row>
    <row r="249" customFormat="false" ht="15" hidden="false" customHeight="true" outlineLevel="0" collapsed="false">
      <c r="B249" s="93"/>
    </row>
    <row r="250" customFormat="false" ht="15" hidden="false" customHeight="true" outlineLevel="0" collapsed="false">
      <c r="B250" s="93" t="s">
        <v>863</v>
      </c>
    </row>
    <row r="251" customFormat="false" ht="15" hidden="false" customHeight="true" outlineLevel="0" collapsed="false">
      <c r="B251" s="93" t="s">
        <v>864</v>
      </c>
    </row>
    <row r="252" customFormat="false" ht="15" hidden="false" customHeight="true" outlineLevel="0" collapsed="false">
      <c r="B252" s="93" t="s">
        <v>865</v>
      </c>
    </row>
    <row r="253" customFormat="false" ht="15" hidden="false" customHeight="true" outlineLevel="0" collapsed="false">
      <c r="B253" s="93" t="s">
        <v>866</v>
      </c>
    </row>
    <row r="254" customFormat="false" ht="15" hidden="false" customHeight="true" outlineLevel="0" collapsed="false">
      <c r="B254" s="93"/>
    </row>
    <row r="255" customFormat="false" ht="15" hidden="false" customHeight="true" outlineLevel="0" collapsed="false">
      <c r="B255" s="93" t="s">
        <v>772</v>
      </c>
    </row>
    <row r="256" customFormat="false" ht="15" hidden="false" customHeight="true" outlineLevel="0" collapsed="false">
      <c r="B256" s="93"/>
    </row>
    <row r="257" customFormat="false" ht="15" hidden="false" customHeight="true" outlineLevel="0" collapsed="false">
      <c r="B257" s="93" t="s">
        <v>867</v>
      </c>
    </row>
    <row r="258" customFormat="false" ht="15" hidden="false" customHeight="true" outlineLevel="0" collapsed="false">
      <c r="B258" s="93"/>
    </row>
    <row r="259" customFormat="false" ht="15" hidden="false" customHeight="true" outlineLevel="0" collapsed="false">
      <c r="B259" s="93" t="s">
        <v>868</v>
      </c>
    </row>
    <row r="260" customFormat="false" ht="15" hidden="false" customHeight="true" outlineLevel="0" collapsed="false">
      <c r="B260" s="93"/>
    </row>
    <row r="261" customFormat="false" ht="15" hidden="false" customHeight="true" outlineLevel="0" collapsed="false">
      <c r="B261" s="93" t="s">
        <v>778</v>
      </c>
    </row>
    <row r="262" customFormat="false" ht="15" hidden="false" customHeight="true" outlineLevel="0" collapsed="false">
      <c r="B262" s="93" t="s">
        <v>779</v>
      </c>
    </row>
    <row r="263" customFormat="false" ht="15" hidden="false" customHeight="true" outlineLevel="0" collapsed="false">
      <c r="B263" s="93" t="s">
        <v>780</v>
      </c>
    </row>
    <row r="264" customFormat="false" ht="15" hidden="false" customHeight="true" outlineLevel="0" collapsed="false">
      <c r="B264" s="93" t="s">
        <v>781</v>
      </c>
    </row>
    <row r="268" customFormat="false" ht="21" hidden="false" customHeight="true" outlineLevel="0" collapsed="false">
      <c r="B268" s="88" t="s">
        <v>869</v>
      </c>
    </row>
    <row r="269" customFormat="false" ht="15.75" hidden="false" customHeight="true" outlineLevel="0" collapsed="false">
      <c r="B269" s="90" t="s">
        <v>854</v>
      </c>
    </row>
    <row r="270" customFormat="false" ht="15.75" hidden="false" customHeight="true" outlineLevel="0" collapsed="false">
      <c r="B270" s="91" t="s">
        <v>870</v>
      </c>
    </row>
    <row r="272" customFormat="false" ht="18.75" hidden="false" customHeight="true" outlineLevel="0" collapsed="false">
      <c r="B272" s="92" t="s">
        <v>871</v>
      </c>
    </row>
    <row r="273" customFormat="false" ht="15" hidden="false" customHeight="true" outlineLevel="0" collapsed="false">
      <c r="B273" s="93" t="s">
        <v>872</v>
      </c>
    </row>
    <row r="275" customFormat="false" ht="18.75" hidden="false" customHeight="true" outlineLevel="0" collapsed="false">
      <c r="B275" s="94" t="s">
        <v>858</v>
      </c>
    </row>
    <row r="276" customFormat="false" ht="15" hidden="false" customHeight="true" outlineLevel="0" collapsed="false">
      <c r="A276" s="95" t="s">
        <v>768</v>
      </c>
      <c r="B276" s="96" t="s">
        <v>679</v>
      </c>
    </row>
    <row r="278" customFormat="false" ht="18.75" hidden="false" customHeight="true" outlineLevel="0" collapsed="false">
      <c r="B278" s="94" t="s">
        <v>873</v>
      </c>
    </row>
    <row r="279" customFormat="false" ht="15" hidden="false" customHeight="true" outlineLevel="0" collapsed="false">
      <c r="B279" s="93" t="s">
        <v>874</v>
      </c>
    </row>
    <row r="280" customFormat="false" ht="15" hidden="false" customHeight="true" outlineLevel="0" collapsed="false">
      <c r="B280" s="93"/>
    </row>
    <row r="281" customFormat="false" ht="15" hidden="false" customHeight="true" outlineLevel="0" collapsed="false">
      <c r="B281" s="93" t="s">
        <v>861</v>
      </c>
    </row>
    <row r="282" customFormat="false" ht="15" hidden="false" customHeight="true" outlineLevel="0" collapsed="false">
      <c r="B282" s="93"/>
    </row>
    <row r="283" customFormat="false" ht="15" hidden="false" customHeight="true" outlineLevel="0" collapsed="false">
      <c r="B283" s="93" t="s">
        <v>875</v>
      </c>
    </row>
    <row r="284" customFormat="false" ht="15" hidden="false" customHeight="true" outlineLevel="0" collapsed="false">
      <c r="B284" s="93"/>
    </row>
    <row r="285" customFormat="false" ht="15" hidden="false" customHeight="true" outlineLevel="0" collapsed="false">
      <c r="B285" s="93" t="s">
        <v>876</v>
      </c>
    </row>
    <row r="286" customFormat="false" ht="15" hidden="false" customHeight="true" outlineLevel="0" collapsed="false">
      <c r="B286" s="93"/>
    </row>
    <row r="287" customFormat="false" ht="15" hidden="false" customHeight="true" outlineLevel="0" collapsed="false">
      <c r="B287" s="93" t="s">
        <v>772</v>
      </c>
    </row>
    <row r="288" customFormat="false" ht="15" hidden="false" customHeight="true" outlineLevel="0" collapsed="false">
      <c r="B288" s="93"/>
    </row>
    <row r="289" customFormat="false" ht="15" hidden="false" customHeight="true" outlineLevel="0" collapsed="false">
      <c r="B289" s="93" t="s">
        <v>877</v>
      </c>
    </row>
    <row r="290" customFormat="false" ht="15" hidden="false" customHeight="true" outlineLevel="0" collapsed="false">
      <c r="B290" s="93"/>
    </row>
    <row r="291" customFormat="false" ht="15" hidden="false" customHeight="true" outlineLevel="0" collapsed="false">
      <c r="B291" s="93" t="s">
        <v>778</v>
      </c>
    </row>
    <row r="292" customFormat="false" ht="15" hidden="false" customHeight="true" outlineLevel="0" collapsed="false">
      <c r="B292" s="93" t="s">
        <v>779</v>
      </c>
    </row>
    <row r="293" customFormat="false" ht="15" hidden="false" customHeight="true" outlineLevel="0" collapsed="false">
      <c r="B293" s="93" t="s">
        <v>780</v>
      </c>
    </row>
    <row r="294" customFormat="false" ht="15" hidden="false" customHeight="true" outlineLevel="0" collapsed="false">
      <c r="B294" s="93" t="s">
        <v>781</v>
      </c>
    </row>
    <row r="298" customFormat="false" ht="21" hidden="false" customHeight="true" outlineLevel="0" collapsed="false">
      <c r="B298" s="88" t="s">
        <v>878</v>
      </c>
    </row>
    <row r="299" customFormat="false" ht="15.75" hidden="false" customHeight="true" outlineLevel="0" collapsed="false">
      <c r="B299" s="90" t="s">
        <v>854</v>
      </c>
    </row>
    <row r="300" customFormat="false" ht="15.75" hidden="false" customHeight="true" outlineLevel="0" collapsed="false">
      <c r="B300" s="91" t="s">
        <v>879</v>
      </c>
    </row>
    <row r="302" customFormat="false" ht="18.75" hidden="false" customHeight="true" outlineLevel="0" collapsed="false">
      <c r="B302" s="92" t="s">
        <v>880</v>
      </c>
    </row>
    <row r="303" customFormat="false" ht="15" hidden="false" customHeight="true" outlineLevel="0" collapsed="false">
      <c r="B303" s="93" t="s">
        <v>881</v>
      </c>
    </row>
    <row r="305" customFormat="false" ht="18.75" hidden="false" customHeight="true" outlineLevel="0" collapsed="false">
      <c r="B305" s="94" t="s">
        <v>858</v>
      </c>
    </row>
    <row r="306" customFormat="false" ht="15" hidden="false" customHeight="true" outlineLevel="0" collapsed="false">
      <c r="A306" s="95" t="s">
        <v>768</v>
      </c>
      <c r="B306" s="96" t="s">
        <v>683</v>
      </c>
    </row>
    <row r="308" customFormat="false" ht="18.75" hidden="false" customHeight="true" outlineLevel="0" collapsed="false">
      <c r="B308" s="94" t="s">
        <v>882</v>
      </c>
    </row>
    <row r="309" customFormat="false" ht="15" hidden="false" customHeight="true" outlineLevel="0" collapsed="false">
      <c r="B309" s="93" t="s">
        <v>874</v>
      </c>
    </row>
    <row r="310" customFormat="false" ht="15" hidden="false" customHeight="true" outlineLevel="0" collapsed="false">
      <c r="B310" s="93"/>
    </row>
    <row r="311" customFormat="false" ht="15" hidden="false" customHeight="true" outlineLevel="0" collapsed="false">
      <c r="B311" s="93" t="s">
        <v>861</v>
      </c>
    </row>
    <row r="312" customFormat="false" ht="15" hidden="false" customHeight="true" outlineLevel="0" collapsed="false">
      <c r="B312" s="93"/>
    </row>
    <row r="313" customFormat="false" ht="15" hidden="false" customHeight="true" outlineLevel="0" collapsed="false">
      <c r="B313" s="93" t="s">
        <v>883</v>
      </c>
    </row>
    <row r="314" customFormat="false" ht="15" hidden="false" customHeight="true" outlineLevel="0" collapsed="false">
      <c r="B314" s="93"/>
    </row>
    <row r="315" customFormat="false" ht="15" hidden="false" customHeight="true" outlineLevel="0" collapsed="false">
      <c r="B315" s="93" t="s">
        <v>884</v>
      </c>
    </row>
    <row r="316" customFormat="false" ht="15" hidden="false" customHeight="true" outlineLevel="0" collapsed="false">
      <c r="B316" s="93"/>
    </row>
    <row r="317" customFormat="false" ht="15" hidden="false" customHeight="true" outlineLevel="0" collapsed="false">
      <c r="B317" s="93" t="s">
        <v>772</v>
      </c>
    </row>
    <row r="318" customFormat="false" ht="15" hidden="false" customHeight="true" outlineLevel="0" collapsed="false">
      <c r="B318" s="93"/>
    </row>
    <row r="319" customFormat="false" ht="15" hidden="false" customHeight="true" outlineLevel="0" collapsed="false">
      <c r="B319" s="93" t="s">
        <v>885</v>
      </c>
    </row>
    <row r="320" customFormat="false" ht="15" hidden="false" customHeight="true" outlineLevel="0" collapsed="false">
      <c r="B320" s="93"/>
    </row>
    <row r="321" customFormat="false" ht="15" hidden="false" customHeight="true" outlineLevel="0" collapsed="false">
      <c r="B321" s="93" t="s">
        <v>886</v>
      </c>
    </row>
    <row r="322" customFormat="false" ht="15" hidden="false" customHeight="true" outlineLevel="0" collapsed="false">
      <c r="B322" s="93"/>
    </row>
    <row r="323" customFormat="false" ht="15" hidden="false" customHeight="true" outlineLevel="0" collapsed="false">
      <c r="B323" s="93" t="s">
        <v>778</v>
      </c>
    </row>
    <row r="324" customFormat="false" ht="15" hidden="false" customHeight="true" outlineLevel="0" collapsed="false">
      <c r="B324" s="93" t="s">
        <v>779</v>
      </c>
    </row>
    <row r="325" customFormat="false" ht="15" hidden="false" customHeight="true" outlineLevel="0" collapsed="false">
      <c r="B325" s="93" t="s">
        <v>780</v>
      </c>
    </row>
    <row r="326" customFormat="false" ht="15" hidden="false" customHeight="true" outlineLevel="0" collapsed="false">
      <c r="B326" s="93" t="s">
        <v>781</v>
      </c>
    </row>
    <row r="330" customFormat="false" ht="21" hidden="false" customHeight="true" outlineLevel="0" collapsed="false">
      <c r="B330" s="88" t="s">
        <v>887</v>
      </c>
    </row>
    <row r="331" customFormat="false" ht="15.75" hidden="false" customHeight="true" outlineLevel="0" collapsed="false">
      <c r="B331" s="90" t="s">
        <v>854</v>
      </c>
    </row>
    <row r="332" customFormat="false" ht="15.75" hidden="false" customHeight="true" outlineLevel="0" collapsed="false">
      <c r="B332" s="91" t="s">
        <v>888</v>
      </c>
    </row>
    <row r="334" customFormat="false" ht="18.75" hidden="false" customHeight="true" outlineLevel="0" collapsed="false">
      <c r="B334" s="92" t="s">
        <v>889</v>
      </c>
    </row>
    <row r="335" customFormat="false" ht="15" hidden="false" customHeight="true" outlineLevel="0" collapsed="false">
      <c r="B335" s="93" t="s">
        <v>890</v>
      </c>
    </row>
    <row r="337" customFormat="false" ht="18.75" hidden="false" customHeight="true" outlineLevel="0" collapsed="false">
      <c r="B337" s="94" t="s">
        <v>858</v>
      </c>
    </row>
    <row r="338" customFormat="false" ht="15" hidden="false" customHeight="true" outlineLevel="0" collapsed="false">
      <c r="A338" s="95" t="s">
        <v>768</v>
      </c>
      <c r="B338" s="96" t="s">
        <v>687</v>
      </c>
    </row>
    <row r="340" customFormat="false" ht="18.75" hidden="false" customHeight="true" outlineLevel="0" collapsed="false">
      <c r="B340" s="94" t="s">
        <v>891</v>
      </c>
    </row>
    <row r="341" customFormat="false" ht="15" hidden="false" customHeight="true" outlineLevel="0" collapsed="false">
      <c r="B341" s="93" t="s">
        <v>874</v>
      </c>
    </row>
    <row r="342" customFormat="false" ht="15" hidden="false" customHeight="true" outlineLevel="0" collapsed="false">
      <c r="B342" s="93"/>
    </row>
    <row r="343" customFormat="false" ht="15" hidden="false" customHeight="true" outlineLevel="0" collapsed="false">
      <c r="B343" s="93" t="s">
        <v>892</v>
      </c>
    </row>
    <row r="344" customFormat="false" ht="15" hidden="false" customHeight="true" outlineLevel="0" collapsed="false">
      <c r="B344" s="93"/>
    </row>
    <row r="345" customFormat="false" ht="15" hidden="false" customHeight="true" outlineLevel="0" collapsed="false">
      <c r="B345" s="93" t="s">
        <v>893</v>
      </c>
    </row>
    <row r="346" customFormat="false" ht="15" hidden="false" customHeight="true" outlineLevel="0" collapsed="false">
      <c r="B346" s="93"/>
    </row>
    <row r="347" customFormat="false" ht="15" hidden="false" customHeight="true" outlineLevel="0" collapsed="false">
      <c r="B347" s="93" t="s">
        <v>863</v>
      </c>
    </row>
    <row r="348" customFormat="false" ht="15" hidden="false" customHeight="true" outlineLevel="0" collapsed="false">
      <c r="B348" s="93" t="s">
        <v>864</v>
      </c>
    </row>
    <row r="349" customFormat="false" ht="15" hidden="false" customHeight="true" outlineLevel="0" collapsed="false">
      <c r="B349" s="93" t="s">
        <v>894</v>
      </c>
    </row>
    <row r="350" customFormat="false" ht="15" hidden="false" customHeight="true" outlineLevel="0" collapsed="false">
      <c r="B350" s="93"/>
    </row>
    <row r="351" customFormat="false" ht="15" hidden="false" customHeight="true" outlineLevel="0" collapsed="false">
      <c r="B351" s="93" t="s">
        <v>772</v>
      </c>
    </row>
    <row r="352" customFormat="false" ht="15" hidden="false" customHeight="true" outlineLevel="0" collapsed="false">
      <c r="B352" s="93"/>
    </row>
    <row r="353" customFormat="false" ht="15" hidden="false" customHeight="true" outlineLevel="0" collapsed="false">
      <c r="B353" s="93" t="s">
        <v>895</v>
      </c>
    </row>
    <row r="354" customFormat="false" ht="15" hidden="false" customHeight="true" outlineLevel="0" collapsed="false">
      <c r="B354" s="93"/>
    </row>
    <row r="355" customFormat="false" ht="15" hidden="false" customHeight="true" outlineLevel="0" collapsed="false">
      <c r="B355" s="93" t="s">
        <v>778</v>
      </c>
    </row>
    <row r="356" customFormat="false" ht="15" hidden="false" customHeight="true" outlineLevel="0" collapsed="false">
      <c r="B356" s="93" t="s">
        <v>779</v>
      </c>
    </row>
    <row r="357" customFormat="false" ht="15" hidden="false" customHeight="true" outlineLevel="0" collapsed="false">
      <c r="B357" s="93" t="s">
        <v>780</v>
      </c>
    </row>
    <row r="358" customFormat="false" ht="15" hidden="false" customHeight="true" outlineLevel="0" collapsed="false">
      <c r="B358" s="93" t="s">
        <v>781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3F7"/>
    <pageSetUpPr fitToPage="false"/>
  </sheetPr>
  <dimension ref="A1:L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1" min="3" style="0" width="13"/>
  </cols>
  <sheetData>
    <row r="1" customFormat="false" ht="30" hidden="false" customHeight="true" outlineLevel="0" collapsed="false">
      <c r="A1" s="1" t="s">
        <v>896</v>
      </c>
      <c r="B1" s="1"/>
      <c r="C1" s="1"/>
      <c r="D1" s="1"/>
      <c r="E1" s="1"/>
      <c r="F1" s="1"/>
      <c r="G1" s="1"/>
      <c r="H1" s="1"/>
      <c r="I1" s="1"/>
      <c r="J1" s="1"/>
      <c r="K1" s="1"/>
      <c r="L1" s="1"/>
    </row>
    <row r="2" customFormat="false" ht="19.5" hidden="false" customHeight="true" outlineLevel="0" collapsed="false">
      <c r="A2" s="2" t="s">
        <v>897</v>
      </c>
      <c r="B2" s="2"/>
      <c r="C2" s="2"/>
      <c r="D2" s="2"/>
      <c r="E2" s="2"/>
      <c r="F2" s="2"/>
      <c r="G2" s="2"/>
      <c r="H2" s="2"/>
      <c r="I2" s="2"/>
      <c r="J2" s="2"/>
      <c r="K2" s="2"/>
      <c r="L2" s="2"/>
    </row>
    <row r="4" customFormat="false" ht="18" hidden="false" customHeight="true" outlineLevel="0" collapsed="false">
      <c r="B4" s="97" t="s">
        <v>898</v>
      </c>
      <c r="C4" s="97"/>
      <c r="D4" s="97"/>
      <c r="E4" s="97"/>
      <c r="F4" s="97"/>
      <c r="G4" s="97"/>
      <c r="H4" s="97"/>
    </row>
    <row r="5" customFormat="false" ht="33.75" hidden="false" customHeight="true" outlineLevel="0" collapsed="false">
      <c r="B5" s="8" t="s">
        <v>634</v>
      </c>
      <c r="C5" s="8" t="s">
        <v>148</v>
      </c>
      <c r="D5" s="8" t="s">
        <v>899</v>
      </c>
      <c r="E5" s="8" t="s">
        <v>243</v>
      </c>
      <c r="F5" s="8" t="s">
        <v>136</v>
      </c>
      <c r="G5" s="8" t="s">
        <v>900</v>
      </c>
      <c r="H5" s="8" t="s">
        <v>151</v>
      </c>
    </row>
    <row r="6" customFormat="false" ht="15" hidden="false" customHeight="false" outlineLevel="0" collapsed="false">
      <c r="B6" s="98" t="str">
        <f aca="false">SHORTLIST!C5&amp;"  "&amp;SHORTLIST!E5&amp;" &gt; "&amp;SHORTLIST!F5</f>
        <v>L10  Lexington, OH &gt; Channahon, IL</v>
      </c>
      <c r="C6" s="99" t="n">
        <f aca="false">SHORTLIST!V5</f>
        <v>2.53411306042885</v>
      </c>
      <c r="D6" s="99" t="n">
        <f aca="false">'RATE CALC'!$C$5</f>
        <v>2</v>
      </c>
      <c r="E6" s="100" t="n">
        <f aca="false">SHORTLIST!I5</f>
        <v>146</v>
      </c>
      <c r="F6" s="100" t="n">
        <f aca="false">SHORTLIST!J5</f>
        <v>367</v>
      </c>
      <c r="G6" s="101" t="n">
        <f aca="false">SHORTLIST!T5</f>
        <v>1300</v>
      </c>
      <c r="H6" s="101" t="n">
        <f aca="false">SHORTLIST!Y5</f>
        <v>1110.19</v>
      </c>
    </row>
    <row r="7" customFormat="false" ht="15" hidden="false" customHeight="false" outlineLevel="0" collapsed="false">
      <c r="B7" s="98" t="str">
        <f aca="false">SHORTLIST!C6&amp;"  "&amp;SHORTLIST!E6&amp;" &gt; "&amp;SHORTLIST!F6</f>
        <v>L3  Shelbyville, IN &gt; Stanhope, NJ</v>
      </c>
      <c r="C7" s="99" t="n">
        <f aca="false">SHORTLIST!V6</f>
        <v>2.14190093708166</v>
      </c>
      <c r="D7" s="99" t="n">
        <f aca="false">'RATE CALC'!$C$5</f>
        <v>2</v>
      </c>
      <c r="E7" s="100" t="n">
        <f aca="false">SHORTLIST!I6</f>
        <v>92</v>
      </c>
      <c r="F7" s="100" t="n">
        <f aca="false">SHORTLIST!J6</f>
        <v>655</v>
      </c>
      <c r="G7" s="101" t="n">
        <f aca="false">SHORTLIST!T6</f>
        <v>1600</v>
      </c>
      <c r="H7" s="101" t="n">
        <f aca="false">SHORTLIST!Y6</f>
        <v>1323.61</v>
      </c>
    </row>
    <row r="8" customFormat="false" ht="15" hidden="false" customHeight="false" outlineLevel="0" collapsed="false">
      <c r="B8" s="98" t="str">
        <f aca="false">SHORTLIST!C7&amp;"  "&amp;SHORTLIST!E7&amp;" &gt; "&amp;SHORTLIST!F7</f>
        <v>L6  Huntington, WV &gt; Sparrows Point, MD</v>
      </c>
      <c r="C8" s="99" t="n">
        <f aca="false">SHORTLIST!V7</f>
        <v>2.48565965583174</v>
      </c>
      <c r="D8" s="99" t="n">
        <f aca="false">'RATE CALC'!$C$5</f>
        <v>2</v>
      </c>
      <c r="E8" s="100" t="n">
        <f aca="false">SHORTLIST!I7</f>
        <v>106</v>
      </c>
      <c r="F8" s="100" t="n">
        <f aca="false">SHORTLIST!J7</f>
        <v>417</v>
      </c>
      <c r="G8" s="101" t="n">
        <f aca="false">SHORTLIST!T7</f>
        <v>1300</v>
      </c>
      <c r="H8" s="101" t="n">
        <f aca="false">SHORTLIST!Y7</f>
        <v>1106.49</v>
      </c>
    </row>
    <row r="9" customFormat="false" ht="15" hidden="false" customHeight="false" outlineLevel="0" collapsed="false">
      <c r="B9" s="98" t="str">
        <f aca="false">SHORTLIST!C8&amp;"  "&amp;SHORTLIST!E8&amp;" &gt; "&amp;SHORTLIST!F8</f>
        <v>L1  Piqua, OH &gt; Pineville, NC</v>
      </c>
      <c r="C9" s="99" t="n">
        <f aca="false">SHORTLIST!V8</f>
        <v>2.23752151462995</v>
      </c>
      <c r="D9" s="99" t="n">
        <f aca="false">'RATE CALC'!$C$5</f>
        <v>2</v>
      </c>
      <c r="E9" s="100" t="n">
        <f aca="false">SHORTLIST!I8</f>
        <v>82</v>
      </c>
      <c r="F9" s="100" t="n">
        <f aca="false">SHORTLIST!J8</f>
        <v>499</v>
      </c>
      <c r="G9" s="101" t="n">
        <f aca="false">SHORTLIST!T8</f>
        <v>1300</v>
      </c>
      <c r="H9" s="101" t="n">
        <f aca="false">SHORTLIST!Y8</f>
        <v>1085.03</v>
      </c>
    </row>
    <row r="10" customFormat="false" ht="15" hidden="false" customHeight="false" outlineLevel="0" collapsed="false">
      <c r="B10" s="98" t="str">
        <f aca="false">SHORTLIST!C9&amp;"  "&amp;SHORTLIST!E9&amp;" &gt; "&amp;SHORTLIST!F9</f>
        <v>L7  Muncie, IN &gt; Decatur, IL</v>
      </c>
      <c r="C10" s="99" t="n">
        <f aca="false">SHORTLIST!V9</f>
        <v>2.62345679012346</v>
      </c>
      <c r="D10" s="99" t="n">
        <f aca="false">'RATE CALC'!$C$5</f>
        <v>2</v>
      </c>
      <c r="E10" s="100" t="n">
        <f aca="false">SHORTLIST!I9</f>
        <v>109</v>
      </c>
      <c r="F10" s="100" t="n">
        <f aca="false">SHORTLIST!J9</f>
        <v>215</v>
      </c>
      <c r="G10" s="101" t="n">
        <f aca="false">SHORTLIST!T9</f>
        <v>850</v>
      </c>
      <c r="H10" s="101" t="n">
        <f aca="false">SHORTLIST!Y9</f>
        <v>730.12</v>
      </c>
    </row>
    <row r="11" customFormat="false" ht="15" hidden="false" customHeight="false" outlineLevel="0" collapsed="false">
      <c r="B11" s="98" t="str">
        <f aca="false">SHORTLIST!C10&amp;"  "&amp;SHORTLIST!E10&amp;" &gt; "&amp;SHORTLIST!F10</f>
        <v>L9  Fort Wayne, IN &gt; Cedar Point, KS</v>
      </c>
      <c r="C11" s="99" t="n">
        <f aca="false">SHORTLIST!V10</f>
        <v>2.1953896816685</v>
      </c>
      <c r="D11" s="99" t="n">
        <f aca="false">'RATE CALC'!$C$5</f>
        <v>2</v>
      </c>
      <c r="E11" s="100" t="n">
        <f aca="false">SHORTLIST!I10</f>
        <v>153</v>
      </c>
      <c r="F11" s="100" t="n">
        <f aca="false">SHORTLIST!J10</f>
        <v>758</v>
      </c>
      <c r="G11" s="101" t="n">
        <f aca="false">SHORTLIST!T10</f>
        <v>2000</v>
      </c>
      <c r="H11" s="101" t="n">
        <f aca="false">SHORTLIST!Y10</f>
        <v>1662.93</v>
      </c>
    </row>
    <row r="12" customFormat="false" ht="15" hidden="false" customHeight="false" outlineLevel="0" collapsed="false">
      <c r="B12" s="98" t="str">
        <f aca="false">SHORTLIST!C11&amp;"  "&amp;SHORTLIST!E11&amp;" &gt; "&amp;SHORTLIST!F11</f>
        <v>L4  Shelbyville, IN &gt; Selmer, TN</v>
      </c>
      <c r="C12" s="99" t="n">
        <f aca="false">SHORTLIST!V11</f>
        <v>2.25933202357564</v>
      </c>
      <c r="D12" s="99" t="n">
        <f aca="false">'RATE CALC'!$C$5</f>
        <v>2</v>
      </c>
      <c r="E12" s="100" t="n">
        <f aca="false">SHORTLIST!I11</f>
        <v>92</v>
      </c>
      <c r="F12" s="100" t="n">
        <f aca="false">SHORTLIST!J11</f>
        <v>417</v>
      </c>
      <c r="G12" s="101" t="n">
        <f aca="false">SHORTLIST!T11</f>
        <v>1150</v>
      </c>
      <c r="H12" s="101" t="n">
        <f aca="false">SHORTLIST!Y11</f>
        <v>961.67</v>
      </c>
    </row>
    <row r="78" customFormat="false" ht="15" hidden="false" customHeight="false" outlineLevel="0" collapsed="false">
      <c r="B78" s="97" t="s">
        <v>901</v>
      </c>
      <c r="C78" s="97"/>
      <c r="D78" s="97"/>
      <c r="E78" s="97"/>
      <c r="F78" s="97"/>
      <c r="G78" s="97"/>
      <c r="H78" s="97"/>
    </row>
    <row r="79" customFormat="false" ht="33.75" hidden="false" customHeight="true" outlineLevel="0" collapsed="false">
      <c r="B79" s="8" t="s">
        <v>130</v>
      </c>
      <c r="C79" s="8" t="s">
        <v>902</v>
      </c>
      <c r="D79" s="8" t="s">
        <v>903</v>
      </c>
      <c r="E79" s="8" t="s">
        <v>904</v>
      </c>
    </row>
    <row r="80" customFormat="false" ht="15" hidden="false" customHeight="false" outlineLevel="0" collapsed="false">
      <c r="B80" s="102" t="s">
        <v>159</v>
      </c>
      <c r="C80" s="103" t="n">
        <f aca="false">COUNTIF('ALL LOADS'!$B$5:$B$13,B80)</f>
        <v>0</v>
      </c>
      <c r="D80" s="103" t="n">
        <v>1</v>
      </c>
      <c r="E80" s="103" t="n">
        <v>0</v>
      </c>
    </row>
    <row r="81" customFormat="false" ht="15" hidden="false" customHeight="false" outlineLevel="0" collapsed="false">
      <c r="B81" s="102" t="s">
        <v>178</v>
      </c>
      <c r="C81" s="103" t="n">
        <f aca="false">COUNTIF('ALL LOADS'!$B$5:$B$13,B81)</f>
        <v>2</v>
      </c>
      <c r="D81" s="103" t="n">
        <v>2</v>
      </c>
      <c r="E81" s="103" t="n">
        <v>2</v>
      </c>
    </row>
    <row r="82" customFormat="false" ht="15" hidden="false" customHeight="false" outlineLevel="0" collapsed="false">
      <c r="B82" s="102" t="s">
        <v>169</v>
      </c>
      <c r="C82" s="103" t="n">
        <f aca="false">COUNTIF('ALL LOADS'!$B$5:$B$13,B82)</f>
        <v>2</v>
      </c>
      <c r="D82" s="103" t="n">
        <v>2</v>
      </c>
      <c r="E82" s="103" t="n">
        <v>0</v>
      </c>
    </row>
    <row r="83" customFormat="false" ht="22.35" hidden="false" customHeight="false" outlineLevel="0" collapsed="false">
      <c r="B83" s="102" t="s">
        <v>187</v>
      </c>
      <c r="C83" s="103" t="n">
        <f aca="false">COUNTIF('ALL LOADS'!$B$5:$B$13,B83)</f>
        <v>1</v>
      </c>
      <c r="D83" s="103" t="n">
        <v>1</v>
      </c>
      <c r="E83" s="103" t="n">
        <v>2</v>
      </c>
    </row>
    <row r="84" customFormat="false" ht="15" hidden="false" customHeight="false" outlineLevel="0" collapsed="false">
      <c r="B84" s="102" t="s">
        <v>195</v>
      </c>
      <c r="C84" s="103" t="n">
        <f aca="false">COUNTIF('ALL LOADS'!$B$5:$B$13,B84)</f>
        <v>1</v>
      </c>
      <c r="D84" s="103" t="n">
        <v>1</v>
      </c>
      <c r="E84" s="103" t="n">
        <v>2</v>
      </c>
    </row>
    <row r="85" customFormat="false" ht="15" hidden="false" customHeight="false" outlineLevel="0" collapsed="false">
      <c r="B85" s="102" t="s">
        <v>219</v>
      </c>
      <c r="C85" s="103" t="n">
        <f aca="false">COUNTIF('ALL LOADS'!$B$5:$B$13,B85)</f>
        <v>1</v>
      </c>
      <c r="D85" s="103" t="n">
        <v>0</v>
      </c>
      <c r="E85" s="103" t="n">
        <v>0</v>
      </c>
    </row>
    <row r="86" customFormat="false" ht="15" hidden="false" customHeight="false" outlineLevel="0" collapsed="false">
      <c r="B86" s="102" t="s">
        <v>229</v>
      </c>
      <c r="C86" s="103" t="n">
        <f aca="false">COUNTIF('ALL LOADS'!$B$5:$B$13,B86)</f>
        <v>1</v>
      </c>
      <c r="D86" s="103" t="n">
        <v>1</v>
      </c>
      <c r="E86" s="103" t="n">
        <v>0</v>
      </c>
    </row>
    <row r="87" customFormat="false" ht="15" hidden="false" customHeight="false" outlineLevel="0" collapsed="false">
      <c r="B87" s="102" t="s">
        <v>224</v>
      </c>
      <c r="C87" s="103" t="n">
        <f aca="false">COUNTIF('ALL LOADS'!$B$5:$B$13,B87)</f>
        <v>1</v>
      </c>
      <c r="D87" s="103" t="n">
        <v>0</v>
      </c>
      <c r="E87" s="103" t="n">
        <v>0</v>
      </c>
    </row>
    <row r="111" customFormat="false" ht="15" hidden="false" customHeight="true" outlineLevel="0" collapsed="false">
      <c r="B111" s="82" t="s">
        <v>905</v>
      </c>
      <c r="C111" s="82"/>
      <c r="D111" s="82"/>
      <c r="E111" s="82"/>
      <c r="F111" s="82"/>
      <c r="G111" s="82"/>
      <c r="H111" s="82"/>
      <c r="I111" s="82"/>
      <c r="J111" s="82"/>
      <c r="K111" s="82"/>
    </row>
    <row r="112" customFormat="false" ht="15" hidden="false" customHeight="false" outlineLevel="0" collapsed="false">
      <c r="B112" s="82"/>
      <c r="C112" s="82"/>
      <c r="D112" s="82"/>
      <c r="E112" s="82"/>
      <c r="F112" s="82"/>
      <c r="G112" s="82"/>
      <c r="H112" s="82"/>
      <c r="I112" s="82"/>
      <c r="J112" s="82"/>
      <c r="K112" s="82"/>
    </row>
    <row r="113" customFormat="false" ht="15" hidden="false" customHeight="false" outlineLevel="0" collapsed="false">
      <c r="B113" s="82"/>
      <c r="C113" s="82"/>
      <c r="D113" s="82"/>
      <c r="E113" s="82"/>
      <c r="F113" s="82"/>
      <c r="G113" s="82"/>
      <c r="H113" s="82"/>
      <c r="I113" s="82"/>
      <c r="J113" s="82"/>
      <c r="K113" s="82"/>
    </row>
  </sheetData>
  <mergeCells count="5">
    <mergeCell ref="A1:L1"/>
    <mergeCell ref="A2:L2"/>
    <mergeCell ref="B4:H4"/>
    <mergeCell ref="B78:H78"/>
    <mergeCell ref="B111:K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2026-09-08T13:17:22Z</dcterms:created>
  <dc:creator>openpyxl</dc:creator>
  <dc:description/>
  <dc:language>en-US</dc:language>
  <cp:lastModifiedBy/>
  <dcterms:modified xsi:type="dcterms:W3CDTF">2026-09-08T13:17:25Z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