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Loads" sheetId="2" state="visible" r:id="rId4"/>
    <sheet name="Call Queue" sheetId="3" state="visible" r:id="rId5"/>
    <sheet name="Trip Pair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<sst xmlns="http://schemas.openxmlformats.org/spreadsheetml/2006/main" count="311" uniqueCount="249">
  <si>
    <t xml:space="preserve">MUNSTER LOGISTICS — Monday First Load Trip Sheet</t>
  </si>
  <si>
    <t xml:space="preserve">Pickup window Mon-Tue Aug 24-25, 2026  ·  Prepared Fri Aug 21  ·  Rates/loads churn — re-verify Monday 7am ET</t>
  </si>
  <si>
    <t xml:space="preserve">CARRIER PROFILE</t>
  </si>
  <si>
    <t xml:space="preserve">Carrier / MC</t>
  </si>
  <si>
    <t xml:space="preserve">Munster Logistics LLC · MC-84057665 · USDOT 7555217 (rate con ALWAYS in this name, never LoadBoot)</t>
  </si>
  <si>
    <t xml:space="preserve">Truck</t>
  </si>
  <si>
    <t xml:space="preserve">F-250 + Big Tex trailer · open flatbed (hotshot) · NO Conestoga</t>
  </si>
  <si>
    <t xml:space="preserve">Capacity (CONFIRMED)</t>
  </si>
  <si>
    <t xml:space="preserve">30 ft gooseneck deck (25+5), 102" wide, ~34" deck height, MAX PAYLOAD 9,000 lbs (Justin, 22 Aug) — 123LB post/searches ko 30ft/9,000 par update karna hai</t>
  </si>
  <si>
    <t xml:space="preserve">Tarps / chains (CONFIRMED)</t>
  </si>
  <si>
    <t xml:space="preserve">HAI: lumber tarp + flat tarp, Grade 80 chains/binders, straps, MEGA RAMPS (Justin, 22 Aug) — tarp-required loads ab OK</t>
  </si>
  <si>
    <t xml:space="preserve">Home base</t>
  </si>
  <si>
    <t xml:space="preserve">New Richmond OH 45157 · max deadhead 200 mi · weekends OFF · home weekly · round-trip preferred</t>
  </si>
  <si>
    <t xml:space="preserve">Economics</t>
  </si>
  <si>
    <t xml:space="preserve">Floor $1.50/mi (target $2.00+, open $2.20-2.30) · breakeven $572/day + fuel ~$0.28/mi · weekly cost $2,860</t>
  </si>
  <si>
    <t xml:space="preserve">3-GATE CHECK — EVERY LOAD, NO EXCEPTIONS</t>
  </si>
  <si>
    <t xml:space="preserve">Gate 1 — FMCSA</t>
  </si>
  <si>
    <t xml:space="preserve">fmcsa-verify edge fn (tested LIVE Aug 21): POST /functions/v1/fmcsa-verify {"mc":..} — broker authority + brokerOnly</t>
  </si>
  <si>
    <t xml:space="preserve">Gate 2 — 123LB credit</t>
  </si>
  <si>
    <t xml:space="preserve">days-to-pay 35+ ya D grade = SKIP (values already captured in Loads sheet)</t>
  </si>
  <si>
    <t xml:space="preserve">Gate 3 — Factor approval</t>
  </si>
  <si>
    <t xml:space="preserve">Truckstop Factoring se broker credit-approval BEFORE booking (FactoringAR@truckstop.com)</t>
  </si>
  <si>
    <t xml:space="preserve">RETELL CALL RULES</t>
  </si>
  <si>
    <t xml:space="preserve">AI intake only</t>
  </si>
  <si>
    <t xml:space="preserve">Qualify: dims, weight, commodity, pickup window, broker MC, rate ask. NEVER commit a rate — '10-min callback' promise</t>
  </si>
  <si>
    <t xml:space="preserve">Go/No-Go math</t>
  </si>
  <si>
    <t xml:space="preserve">rpm &gt;= 1.50 AND (linehaul − 0.28×total miles) ÷ truck-days &gt;= $572</t>
  </si>
  <si>
    <t xml:space="preserve">AUG 22 (SAT) BOARD STATUS — 123LB FIXED TO REAL SPECS</t>
  </si>
  <si>
    <t xml:space="preserve">Truck post #6978096</t>
  </si>
  <si>
    <t xml:space="preserve">UPDATED: TL 30 ft / 9,000 lbs / $2.00 per mi, note mein tarps + Grade 80 chains + straps + mega ramps + MC-84057665 / DOT 7555217.</t>
  </si>
  <si>
    <t xml:space="preserve">Saved searches (5/5)</t>
  </si>
  <si>
    <t xml:space="preserve">MUNSTER OUT, BACK-CHI, BACK-NSH, BACK-ATL, BACK-IND — sab ab 0 ft - 30 ft aur 0 - 9,000 lbs, alerts ON. Pehle 36 ft tha, is se over-size loads match ho rahe the.</t>
  </si>
  <si>
    <t xml:space="preserve">Aaj ki nayi matches</t>
  </si>
  <si>
    <t xml:space="preserve">BACK-IND: Mason MI-&gt;Roanoke IN ($600, 24 ft, 8,200 lbs, F-HS) aur Wheeling IL-&gt;Attica IN ($550, Conestoga only = REJECT). OUT: South Point OH-&gt;Carthage MO ($1,000, 16 ft, 8,346 lbs).</t>
  </si>
  <si>
    <t xml:space="preserve">Naye REJECTS (Aug 22)</t>
  </si>
  <si>
    <t xml:space="preserve">New Ross IN-&gt;Elk Grove IL 31 ft / 9,316 lbs (dono over) · Lebanon OH-&gt;Wheeling WV 40 ft deck chahiye · Florence KY-&gt;Grove City OH 48 ft / 10,000 lbs · Hamilton OH-&gt;London OH weight blank (48 ft SD).</t>
  </si>
  <si>
    <t xml:space="preserve">Live shortlist</t>
  </si>
  <si>
    <t xml:space="preserve">5 callable loads: Joe Tex (Central City KY), TN Steel Haulers (St Albans WV), Fifth Wheel x2 (South Point OH + Mason MI), Clutch (Cerro Gordo IL). Baqi sab spec/rate par reject.</t>
  </si>
  <si>
    <t xml:space="preserve">Sab se bara signal</t>
  </si>
  <si>
    <t xml:space="preserve">Fifth Wheel Freight ke 4 loads exactly hotshot size mein hain — ye Munster ke liye sab se qeemti broker relationship hai. Pehli call wahin.</t>
  </si>
  <si>
    <t xml:space="preserve">JUSTIN KA SCHEDULE — CONFIRMED (WhatsApp, Sat 22 Aug 6:17am)</t>
  </si>
  <si>
    <t xml:space="preserve">Monday start</t>
  </si>
  <si>
    <t xml:space="preserve">Mon 24 Aug, 8:00 AM — uske apne alfaz: "8/24/26 8am". Ye pakka hai.</t>
  </si>
  <si>
    <t xml:space="preserve">Monday overnight</t>
  </si>
  <si>
    <t xml:space="preserve">HAAN — "On Monday I'm fine to be out over night". Best case jo usne khud kaha: "put me out Monday over night and find me a load home".</t>
  </si>
  <si>
    <t xml:space="preserve">Weekend (Sat/Sun)</t>
  </si>
  <si>
    <t xml:space="preserve">Available hai LEKIN sirf same-day round trip — "If it's this weekend, home same night." Yani 150-200 mi ek taraf se zyada nahi.</t>
  </si>
  <si>
    <t xml:space="preserve">Iska matlab plan par</t>
  </si>
  <si>
    <t xml:space="preserve">Monday ka shape ab saaf hai: OUT leg 300-500 mi (Mon), delivery Tue subah, phir BACK leg ghar (Tue). Yehi hamare BACK-* saved searches ka maqsad hai.</t>
  </si>
  <si>
    <t xml:space="preserve">Ab kya fit karta hai</t>
  </si>
  <si>
    <t xml:space="preserve">BEHTAREEN: TSH St Albans WV-&gt;Fredericksburg VA (336 mi, sirf 500 lbs) + VA se wapsi. Joe Tex Central City KY-&gt;Lancaster TN (156 mi + 195 DH) + Nashville se wapsi. Fifth Wheel Mason MI-&gt;Roanoke IN (153 mi, ghar se sirf 150 mi door khatam).</t>
  </si>
  <si>
    <t xml:space="preserve">Ab kya fit NAHI karta</t>
  </si>
  <si>
    <t xml:space="preserve">Fifth Wheel South Point OH-&gt;Carthage MO (738 mi) — ye "overnight" nahi, 3-4 din ka trip hai. Ab ye neeche chala gaya. Sirf tab lena jab Justin poora hafta bahar rehne par razi ho.</t>
  </si>
  <si>
    <t xml:space="preserve">#</t>
  </si>
  <si>
    <t xml:space="preserve">Dir</t>
  </si>
  <si>
    <t xml:space="preserve">Verdict</t>
  </si>
  <si>
    <t xml:space="preserve">Pickup</t>
  </si>
  <si>
    <t xml:space="preserve">PU date</t>
  </si>
  <si>
    <t xml:space="preserve">Drop</t>
  </si>
  <si>
    <t xml:space="preserve">DH mi</t>
  </si>
  <si>
    <t xml:space="preserve">Trip mi</t>
  </si>
  <si>
    <t xml:space="preserve">Days est</t>
  </si>
  <si>
    <t xml:space="preserve">Posted $</t>
  </si>
  <si>
    <t xml:space="preserve">Posted $/mi</t>
  </si>
  <si>
    <t xml:space="preserve">Market $/mi</t>
  </si>
  <si>
    <t xml:space="preserve">ASK $</t>
  </si>
  <si>
    <t xml:space="preserve">Ask $/mi</t>
  </si>
  <si>
    <t xml:space="preserve">Fuel $ (0.28×mi)</t>
  </si>
  <si>
    <t xml:space="preserve">Net $ @ask</t>
  </si>
  <si>
    <t xml:space="preserve">$/day @ask</t>
  </si>
  <si>
    <t xml:space="preserve">GO check</t>
  </si>
  <si>
    <t xml:space="preserve">Broker</t>
  </si>
  <si>
    <t xml:space="preserve">Contact</t>
  </si>
  <si>
    <t xml:space="preserve">Phone</t>
  </si>
  <si>
    <t xml:space="preserve">Email</t>
  </si>
  <si>
    <t xml:space="preserve">Ref #</t>
  </si>
  <si>
    <t xml:space="preserve">Credit (123LB)</t>
  </si>
  <si>
    <t xml:space="preserve">Equip/size</t>
  </si>
  <si>
    <t xml:space="preserve">Notes / call points</t>
  </si>
  <si>
    <t xml:space="preserve">Call status</t>
  </si>
  <si>
    <t xml:space="preserve">Outcome</t>
  </si>
  <si>
    <t xml:space="preserve">OUT</t>
  </si>
  <si>
    <t xml:space="preserve">CALL</t>
  </si>
  <si>
    <t xml:space="preserve">Central City, KY</t>
  </si>
  <si>
    <t xml:space="preserve">08/24</t>
  </si>
  <si>
    <t xml:space="preserve">Lancaster, TN</t>
  </si>
  <si>
    <t xml:space="preserve">Joe Tex, Inc.</t>
  </si>
  <si>
    <t xml:space="preserve">Angie</t>
  </si>
  <si>
    <t xml:space="preserve">(903) 537-7100</t>
  </si>
  <si>
    <t xml:space="preserve">518161</t>
  </si>
  <si>
    <t xml:space="preserve">TC 97 / 27d · eCap B / 43d</t>
  </si>
  <si>
    <t xml:space="preserve">F LTL 16ft 7,000 lbs</t>
  </si>
  <si>
    <t xml:space="preserve">No posted rate — call for rate. Short hop; pairs with Tue Nashville-area backhaul (BACK-NSH Monday postings). DH 195 hai — rate accordingly.</t>
  </si>
  <si>
    <t xml:space="preserve">Saint Albans, WV</t>
  </si>
  <si>
    <t xml:space="preserve">Fredericksburg, VA</t>
  </si>
  <si>
    <t xml:space="preserve">Tennessee Steel Haulers</t>
  </si>
  <si>
    <t xml:space="preserve">CA (dispatch)</t>
  </si>
  <si>
    <t xml:space="preserve">(800) 776-4004</t>
  </si>
  <si>
    <t xml:space="preserve">E1687595</t>
  </si>
  <si>
    <t xml:space="preserve">TC 98 / 21d · eCap B / 35d</t>
  </si>
  <si>
    <t xml:space="preserve">F TL 500 lbs</t>
  </si>
  <si>
    <t xml:space="preserve">Note says 40' HOTSHOT — hamara deck 30 ft hai; 500 lbs hi hai to poochho 30 ft chalega? Market $1,459. VA se wapsi ka load search karna hoga.</t>
  </si>
  <si>
    <t xml:space="preserve">NEGOTIATE</t>
  </si>
  <si>
    <t xml:space="preserve">South Point, OH</t>
  </si>
  <si>
    <t xml:space="preserve">Carthage, MO</t>
  </si>
  <si>
    <t xml:space="preserve">Fifth Wheel Freight</t>
  </si>
  <si>
    <t xml:space="preserve">ext 8550</t>
  </si>
  <si>
    <t xml:space="preserve">(616) 965-7277</t>
  </si>
  <si>
    <t xml:space="preserve">752447</t>
  </si>
  <si>
    <t xml:space="preserve">eCap B / 37d</t>
  </si>
  <si>
    <t xml:space="preserve">F/SD LTL 16ft 8,346 lbs</t>
  </si>
  <si>
    <t xml:space="preserve">Posted $1,000 = $1.36 (below floor). Ask $1,700+. Fully secured + MacroPoint required. MO se backhaul ka plan pehle — warna 738mi one-way trap.</t>
  </si>
  <si>
    <t xml:space="preserve">REJECT</t>
  </si>
  <si>
    <t xml:space="preserve">Indianapolis, IN</t>
  </si>
  <si>
    <t xml:space="preserve">Concord, NC</t>
  </si>
  <si>
    <t xml:space="preserve">Sureway Transportation (ATS)</t>
  </si>
  <si>
    <t xml:space="preserve">Josh Porwoll</t>
  </si>
  <si>
    <t xml:space="preserve">(320) 258-6548</t>
  </si>
  <si>
    <t xml:space="preserve">joshpo@atsinc.com</t>
  </si>
  <si>
    <t xml:space="preserve">TC 98 / A</t>
  </si>
  <si>
    <t xml:space="preserve">F(HS) TL 35ft 10,000 lbs</t>
  </si>
  <si>
    <t xml:space="preserve">CONFIRMED REJECT: 10,000 lbs &gt; max payload 9,000 (Justin 22 Aug). Sirf tab zinda jab broker likhwa de ke asal weight &lt;=9,000.</t>
  </si>
  <si>
    <t xml:space="preserve">Hebron, KY</t>
  </si>
  <si>
    <t xml:space="preserve">Nashwauk, MN</t>
  </si>
  <si>
    <t xml:space="preserve">F(HS) TL 30ft 12,000 lbs</t>
  </si>
  <si>
    <t xml:space="preserve">CONFIRMED REJECT: 12,000 lbs — payload cap 9,000.</t>
  </si>
  <si>
    <t xml:space="preserve">BACK</t>
  </si>
  <si>
    <t xml:space="preserve">Cerro Gordo, IL</t>
  </si>
  <si>
    <t xml:space="preserve">West Lafayette, IN</t>
  </si>
  <si>
    <t xml:space="preserve">Clutch Transportation Services</t>
  </si>
  <si>
    <t xml:space="preserve">Quotes</t>
  </si>
  <si>
    <t xml:space="preserve">(419) 513-8078</t>
  </si>
  <si>
    <t xml:space="preserve">quotes@clutchtransportation.net</t>
  </si>
  <si>
    <t xml:space="preserve">131108557</t>
  </si>
  <si>
    <t xml:space="preserve">TC 92 / 27d · eCap C / 54d</t>
  </si>
  <si>
    <t xml:space="preserve">F(HS) TL 32ft 8,000 lbs (TRACTOR)</t>
  </si>
  <si>
    <t xml:space="preserve">Deliver 08/25 0930-1130, call 30 min before PU. Market $947 ($6.71/mi). eCapital 54 din — Gate 3 factor approval LAZMI pehle. Dest W Lafayette = phir 181mi home DH.</t>
  </si>
  <si>
    <t xml:space="preserve">Mason, MI</t>
  </si>
  <si>
    <t xml:space="preserve">Roanoke, IN</t>
  </si>
  <si>
    <t xml:space="preserve">752512</t>
  </si>
  <si>
    <t xml:space="preserve">F(HS) LTL 24ft 8,200 lbs</t>
  </si>
  <si>
    <t xml:space="preserve">TARPS CONFIRMED (lumber+flat tarp on board) — ab ye load OK. DIAL EXT 8550 // fully secured, call ahead &lt;=1h after PU/DEL. Dest Roanoke IN = 150mi home DH.</t>
  </si>
  <si>
    <t xml:space="preserve">New Madison, OH</t>
  </si>
  <si>
    <t xml:space="preserve">08/21-25</t>
  </si>
  <si>
    <t xml:space="preserve">Lewisburg, TN</t>
  </si>
  <si>
    <t xml:space="preserve">Tractor Town Farm Equipment (shipper)</t>
  </si>
  <si>
    <t xml:space="preserve">Lance Hayden</t>
  </si>
  <si>
    <t xml:space="preserve">n/a (shipper, COD)</t>
  </si>
  <si>
    <t xml:space="preserve">F LTL 13ft 5,200 lbs</t>
  </si>
  <si>
    <t xml:space="preserve">REJECT: 'Pays $450 COD' firm = $1.14/mi, below floor + COD not factorable. Market $3.78 — agar wo $1,400+ maan jayen to hi revisit.</t>
  </si>
  <si>
    <t xml:space="preserve">Wheeling, IL</t>
  </si>
  <si>
    <t xml:space="preserve">Attica, IN</t>
  </si>
  <si>
    <t xml:space="preserve">(616) 383-4240</t>
  </si>
  <si>
    <t xml:space="preserve">10941547</t>
  </si>
  <si>
    <t xml:space="preserve">F(CO)/SD(CO) 20ft 4,400 lbs</t>
  </si>
  <si>
    <t xml:space="preserve">REJECT: 'stoga only' = Conestoga required — hamare paas nahi.</t>
  </si>
  <si>
    <t xml:space="preserve">Johnston, SC</t>
  </si>
  <si>
    <t xml:space="preserve">Grabill, IN</t>
  </si>
  <si>
    <t xml:space="preserve">Beemac Logistics</t>
  </si>
  <si>
    <t xml:space="preserve">Rezell</t>
  </si>
  <si>
    <t xml:space="preserve">(724) 242-8264</t>
  </si>
  <si>
    <t xml:space="preserve">rezell@beemaclogistics.com</t>
  </si>
  <si>
    <t xml:space="preserve">eCap B / 42d</t>
  </si>
  <si>
    <t xml:space="preserve">Listing blank — ACTUAL: 45k lbs lumber, 48/53ft + tarps</t>
  </si>
  <si>
    <t xml:space="preserve">REJECT: detail note se nikla ke ye 45,000 lbs lumber hai 53/48ft flatbed ke liye — listing ke blank dims ne filter pass kar liya tha. Hotshot ke liye impossible.</t>
  </si>
  <si>
    <t xml:space="preserve">New Ross, IN</t>
  </si>
  <si>
    <t xml:space="preserve">08/27</t>
  </si>
  <si>
    <t xml:space="preserve">Elk Grove Village, IL</t>
  </si>
  <si>
    <t xml:space="preserve">F(HS) TL 31ft 9,316 lbs</t>
  </si>
  <si>
    <t xml:space="preserve">REJECT (Aug 22): 31 ft &gt; 30 ft deck AUR 9,316 lbs &gt; 9,000 payload. Rate bhi $2.20 par net kaam ka nahi.</t>
  </si>
  <si>
    <t xml:space="preserve">Lebanon, OH</t>
  </si>
  <si>
    <t xml:space="preserve">08/26</t>
  </si>
  <si>
    <t xml:space="preserve">Wheeling, WV</t>
  </si>
  <si>
    <t xml:space="preserve">F(HS) TL 40ft 8,000 lbs</t>
  </si>
  <si>
    <t xml:space="preserve">REJECT (Aug 22): 40 ft deck chahiye — hamara 30 ft. Weight theek tha (8,000).</t>
  </si>
  <si>
    <t xml:space="preserve">Florence, KY</t>
  </si>
  <si>
    <t xml:space="preserve">Grove City, OH</t>
  </si>
  <si>
    <t xml:space="preserve">Mercer Transportation</t>
  </si>
  <si>
    <t xml:space="preserve">F TL 48ft 10,000 lbs</t>
  </si>
  <si>
    <t xml:space="preserve">REJECT (Aug 22): 48 ft + 10,000 lbs — dono over. $5.97/mi tempting tha lekin truck fit nahi.</t>
  </si>
  <si>
    <t xml:space="preserve">Hamilton, OH</t>
  </si>
  <si>
    <t xml:space="preserve">London, OH</t>
  </si>
  <si>
    <t xml:space="preserve">C Cross Logistics Corp</t>
  </si>
  <si>
    <t xml:space="preserve">SD TL 48ft — weight BLANK</t>
  </si>
  <si>
    <t xml:space="preserve">REJECT (Aug 22): weight blank + 48 ft step deck. Blank dims = wahi trap jo Beemac wale load mein tha.</t>
  </si>
  <si>
    <t xml:space="preserve">ASK $ (col M) = editable target rate (blue) — badalte hi Ask $/mi, Net, $/day, GO check khud update honge. Days est = truck-days assumption (editable). Fuel $0.28/mi F-250 towing. GO = rpm&gt;=1.50 AND net/day&gt;=572. Sab loads Fri Aug 21 evening ke snapshots hain — Monday subah fresh verify. | AUG 22 UPDATE: 123LB truck post + saare 5 saved searches ab 30 ft / 9,000 lbs par set hain.</t>
  </si>
  <si>
    <t xml:space="preserve">Priority</t>
  </si>
  <si>
    <t xml:space="preserve">Who</t>
  </si>
  <si>
    <t xml:space="preserve">Load (ref)</t>
  </si>
  <si>
    <t xml:space="preserve">Call window (ET)</t>
  </si>
  <si>
    <t xml:space="preserve">Retell context / objectives</t>
  </si>
  <si>
    <t xml:space="preserve">Walkaway</t>
  </si>
  <si>
    <t xml:space="preserve">Status</t>
  </si>
  <si>
    <t xml:space="preserve">Result</t>
  </si>
  <si>
    <t xml:space="preserve">Joe Tex — Angie</t>
  </si>
  <si>
    <t xml:space="preserve">518161 (Central City KY→Lancaster TN)</t>
  </si>
  <si>
    <t xml:space="preserve">Sat 10am-1pm / Mon 8am</t>
  </si>
  <si>
    <t xml:space="preserve">Intro: dispatcher for Munster Logistics LLC, MC-84057665, hotshot gooseneck flatbed, 30 ft deck (25+5), 102in wide, max payload 9,000 lbs, tarps + Grade 80 chains + straps + mega ramps on board, New Richmond OH. Ask: (1) load abhi available? (2) exact dims + weight + commodity (3) pickup window + FCFS? (4) broker MC # (5) rate — unka number pehle. KABHI rate commit nahi — 'dispatcher will confirm within 10 minutes'. Rate con email: (Yaseen ka dispatch email). Extra: rate poochho — target $2.00+/mi eff. incl 195mi DH → $800+ ask. Poochho unke paas TN→Cincinnati wapsi bhi hai?</t>
  </si>
  <si>
    <t xml:space="preserve">min $700</t>
  </si>
  <si>
    <t xml:space="preserve">Sureway/ATS — Josh Porwoll</t>
  </si>
  <si>
    <t xml:space="preserve">Indy→Concord NC (F-HS 35ft 10k)</t>
  </si>
  <si>
    <t xml:space="preserve">Intro: dispatcher for Munster Logistics LLC, MC-84057665, hotshot gooseneck flatbed, 30 ft deck (25+5), 102in wide, max payload 9,000 lbs, tarps + Grade 80 chains + straps + mega ramps on board, New Richmond OH. Ask: (1) load abhi available? (2) exact dims + weight + commodity (3) pickup window + FCFS? (4) broker MC # (5) rate — unka number pehle. KABHI rate commit nahi — 'dispatcher will confirm within 10 minutes'. Rate con email: (Yaseen ka dispatch email). Extra: 10,000 lbs exact hai? Agar Justin payload confirm kare to hi book. Market $3.82 avg — posted $1,400 low hai, ask $1,750-1,900. Concord se backhaul bhi poochho (unke 10 listed hain). Sureway = repeat hotshot poster, relationship banao.</t>
  </si>
  <si>
    <t xml:space="preserve">min $1,550 + specs OK</t>
  </si>
  <si>
    <t xml:space="preserve">TN Steel Haulers</t>
  </si>
  <si>
    <t xml:space="preserve">E1687595 (St Albans WV→Fredericksburg VA)</t>
  </si>
  <si>
    <t xml:space="preserve">Sat 10am-1pm (24/7 line) / Mon 8am</t>
  </si>
  <si>
    <t xml:space="preserve">Intro: dispatcher for Munster Logistics LLC, MC-84057665, hotshot gooseneck flatbed, 30 ft deck (25+5), 102in wide, max payload 9,000 lbs, tarps + Grade 80 chains + straps + mega ramps on board, New Richmond OH. Ask: (1) load abhi available? (2) exact dims + weight + commodity (3) pickup window + FCFS? (4) broker MC # (5) rate — unka number pehle. KABHI rate commit nahi — 'dispatcher will confirm within 10 minutes'. Rate con email: (Yaseen ka dispatch email). Extra: 500 lbs hi hai — 30 ft deck OK hai? (unka note 40' bolta hai — hamara deck 30 ft hai, 500 lbs freight ke liye poochho). Market $1,459 — ask $1,300-1,400. Wapsi VA/DC se load unke paas?</t>
  </si>
  <si>
    <t xml:space="preserve">min $1,100 + 30ft OK</t>
  </si>
  <si>
    <t xml:space="preserve">Fifth Wheel Freight x8550</t>
  </si>
  <si>
    <t xml:space="preserve">752447 (South Point OH→Carthage MO)</t>
  </si>
  <si>
    <t xml:space="preserve">Intro: dispatcher for Munster Logistics LLC, MC-84057665, hotshot gooseneck flatbed, 30 ft deck (25+5), 102in wide, max payload 9,000 lbs, tarps + Grade 80 chains + straps + mega ramps on board, New Richmond OH. Ask: (1) load abhi available? (2) exact dims + weight + commodity (3) pickup window + FCFS? (4) broker MC # (5) rate — unka number pehle. KABHI rate commit nahi — 'dispatcher will confirm within 10 minutes'. Rate con email: (Yaseen ka dispatch email). Extra: posted $1,000 reject-level hai ($1.36). Ask $1,700. Sirf tab pursue jab MO/KC se Tue-Wed wapsi mile — warna pass. MacroPoint chalega (Justin ke phone par app).</t>
  </si>
  <si>
    <t xml:space="preserve">min $1,500 + backhaul plan</t>
  </si>
  <si>
    <t xml:space="preserve">Clutch Transportation</t>
  </si>
  <si>
    <t xml:space="preserve">131108557 (Cerro Gordo IL→W Lafayette IN)</t>
  </si>
  <si>
    <t xml:space="preserve">Mon 8am</t>
  </si>
  <si>
    <t xml:space="preserve">Intro: dispatcher for Munster Logistics LLC, MC-84057665, hotshot gooseneck flatbed, 30 ft deck (25+5), 102in wide, max payload 9,000 lbs, tarps + Grade 80 chains + straps + mega ramps on board, New Richmond OH. Ask: (1) load abhi available? (2) exact dims + weight + commodity (3) pickup window + FCFS? (4) broker MC # (5) rate — unka number pehle. KABHI rate commit nahi — 'dispatcher will confirm within 10 minutes'. Rate con email: (Yaseen ka dispatch email). Extra: backhaul piece hai (sirf tab jab Mon ka OUT load Chicago/IL side jaye). eCapital 54 din — Gate 3 Truckstop approval pehle lazmi. Market $947 — ask $850-900.</t>
  </si>
  <si>
    <t xml:space="preserve">min $700 + factor OK</t>
  </si>
  <si>
    <t xml:space="preserve">Fifth Wheel x8550 (Mason MI)</t>
  </si>
  <si>
    <t xml:space="preserve">752512 (Mason MI→Roanoke IN)</t>
  </si>
  <si>
    <t xml:space="preserve">Intro: dispatcher for Munster Logistics LLC, MC-84057665, hotshot gooseneck flatbed, 30 ft deck (25+5), 102in wide, max payload 9,000 lbs, tarps + Grade 80 chains + straps + mega ramps on board, New Richmond OH. Ask: (1) load abhi available? (2) exact dims + weight + commodity (3) pickup window + FCFS? (4) broker MC # (5) rate — unka number pehle. KABHI rate commit nahi — 'dispatcher will confirm within 10 minutes'. Rate con email: (Yaseen ka dispatch email). Extra: TARPS REQUIRED — CONFIRMED hamare paas hain (lumber + flat tarp). Posted $600 — ask $750. Sirf MI-side delivery hone par relevant.</t>
  </si>
  <si>
    <t xml:space="preserve">min $650 (tarps CONFIRMED — Justin ke paas hain)</t>
  </si>
  <si>
    <t xml:space="preserve">Retell: AI sirf intake/qualify — rate commitment kabhi nahi. Har qualified call ke baad Yaseen ko summary + 10-min callback. Weekend windows: brokers ke after-hours/weekend duty numbers usually same line par hote hain. Status column: QUEUED / CALLED / QUALIFIED / DEAD.</t>
  </si>
  <si>
    <t xml:space="preserve">AUG 22 (Sat) RE-SCAN: Fifth Wheel Freight ab board par Munster-fit ka sab se bara poster hai (South Point OH, Mason MI, Wheeling IL, New Ross IN) — is liye Fifth Wheel ko PRIORITY 1 treat karo, ek hi call par saare hotshot options poochho + apna truck unke system mein register karwao (30 ft / 9,000 lbs / tarps / ramps).</t>
  </si>
  <si>
    <t xml:space="preserve">Plan</t>
  </si>
  <si>
    <t xml:space="preserve">Leg 1 (OUT)</t>
  </si>
  <si>
    <t xml:space="preserve">Leg 2 (BACK)</t>
  </si>
  <si>
    <t xml:space="preserve">Est revenue</t>
  </si>
  <si>
    <t xml:space="preserve">Est total mi</t>
  </si>
  <si>
    <t xml:space="preserve">Days</t>
  </si>
  <si>
    <t xml:space="preserve">Net after fuel</t>
  </si>
  <si>
    <t xml:space="preserve">$/day</t>
  </si>
  <si>
    <t xml:space="preserve">Risk / dependency</t>
  </si>
  <si>
    <t xml:space="preserve">A</t>
  </si>
  <si>
    <t xml:space="preserve">Central City KY→Lancaster TN ($800 ask)</t>
  </si>
  <si>
    <t xml:space="preserve">Mon-posted BACK-NSH load Nashville r200→home (~$650 est)</t>
  </si>
  <si>
    <t xml:space="preserve">Lancaster TN Nashville se ~60mi — Monday ko BACK-NSH alerts se Tue ka load pakarna. Aaj NSH search khali tha; Monday fresh postings aayengi.</t>
  </si>
  <si>
    <t xml:space="preserve">B</t>
  </si>
  <si>
    <t xml:space="preserve">Indy→Concord NC $1,750 ask (Sureway)</t>
  </si>
  <si>
    <t xml:space="preserve">Concord NC area→home — Sureway ke 10 backhauls listed</t>
  </si>
  <si>
    <t xml:space="preserve">DEPENDS: Justin payload &gt;=10k confirm + Tue-Wed wapsi load. Highest revenue plan. Josh Porwoll dono legs de sakta hai.</t>
  </si>
  <si>
    <t xml:space="preserve">C</t>
  </si>
  <si>
    <t xml:space="preserve">St Albans WV→Fredericksburg VA $1,300 ask</t>
  </si>
  <si>
    <t xml:space="preserve">VA/DC area→OH — manual search (saved search nahi)</t>
  </si>
  <si>
    <t xml:space="preserve">36ft deck acceptance + wapsi VA se mile. 500 lbs = asaan load, F-250 fuel kam.</t>
  </si>
  <si>
    <t xml:space="preserve">D</t>
  </si>
  <si>
    <t xml:space="preserve">South Point OH→Carthage MO $1,700 ask</t>
  </si>
  <si>
    <t xml:space="preserve">MO/KC→home — koi search nahi, risk zyada</t>
  </si>
  <si>
    <t xml:space="preserve">Sirf tab jab MO backhaul pehle lock ho. Warna one-way trap — avoid.</t>
  </si>
  <si>
    <t xml:space="preserve">Est revenue (blue) = editable assumption (ask-rate basis). Net = revenue − $0.28/mi fuel. $/day &gt;= $572 chahiye. Plan A sab se realistic; Plan B sab se profitable (specs-dependent).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</si>
</sst>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0223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0223B"/>
        <bgColor rgb="FF333333"/>
      </patternFill>
    </fill>
    <fill>
      <patternFill patternType="solid">
        <fgColor rgb="FFE2F0D9"/>
        <bgColor rgb="FFFBE0DC"/>
      </patternFill>
    </fill>
    <fill>
      <patternFill patternType="solid">
        <fgColor rgb="FF1F4E79"/>
        <bgColor rgb="FF333333"/>
      </patternFill>
    </fill>
    <fill>
      <patternFill patternType="solid">
        <fgColor rgb="FF2E7D32"/>
        <bgColor rgb="FF008000"/>
      </patternFill>
    </fill>
    <fill>
      <patternFill patternType="solid">
        <fgColor rgb="FFFBE0D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BE0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0223B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5" min="4" style="1" width="26"/>
    <col collapsed="false" customWidth="true" hidden="false" outlineLevel="0" max="6" min="6" style="1" width="3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/>
      <c r="D5" s="5"/>
      <c r="E5" s="5"/>
      <c r="F5" s="5"/>
    </row>
    <row r="6" customFormat="false" ht="25.5" hidden="false" customHeight="true" outlineLevel="0" collapsed="false">
      <c r="B6" s="6" t="s">
        <v>3</v>
      </c>
      <c r="C6" s="7" t="s">
        <v>4</v>
      </c>
      <c r="D6" s="7"/>
      <c r="E6" s="7"/>
      <c r="F6" s="7"/>
    </row>
    <row r="7" customFormat="false" ht="25.5" hidden="false" customHeight="true" outlineLevel="0" collapsed="false">
      <c r="B7" s="6" t="s">
        <v>5</v>
      </c>
      <c r="C7" s="7" t="s">
        <v>6</v>
      </c>
      <c r="D7" s="7"/>
      <c r="E7" s="7"/>
      <c r="F7" s="7"/>
    </row>
    <row r="8" customFormat="false" ht="25.5" hidden="false" customHeight="true" outlineLevel="0" collapsed="false">
      <c r="B8" s="8" t="s">
        <v>7</v>
      </c>
      <c r="C8" s="9" t="s">
        <v>8</v>
      </c>
      <c r="D8" s="9"/>
      <c r="E8" s="9"/>
      <c r="F8" s="9"/>
    </row>
    <row r="9" customFormat="false" ht="25.5" hidden="false" customHeight="true" outlineLevel="0" collapsed="false">
      <c r="B9" s="8" t="s">
        <v>9</v>
      </c>
      <c r="C9" s="9" t="s">
        <v>10</v>
      </c>
      <c r="D9" s="9"/>
      <c r="E9" s="9"/>
      <c r="F9" s="9"/>
    </row>
    <row r="10" customFormat="false" ht="25.5" hidden="false" customHeight="true" outlineLevel="0" collapsed="false">
      <c r="B10" s="6" t="s">
        <v>11</v>
      </c>
      <c r="C10" s="7" t="s">
        <v>12</v>
      </c>
      <c r="D10" s="7"/>
      <c r="E10" s="7"/>
      <c r="F10" s="7"/>
    </row>
    <row r="11" customFormat="false" ht="25.5" hidden="false" customHeight="true" outlineLevel="0" collapsed="false">
      <c r="B11" s="6" t="s">
        <v>13</v>
      </c>
      <c r="C11" s="7" t="s">
        <v>14</v>
      </c>
      <c r="D11" s="7"/>
      <c r="E11" s="7"/>
      <c r="F11" s="7"/>
    </row>
    <row r="13" customFormat="false" ht="15" hidden="false" customHeight="true" outlineLevel="0" collapsed="false">
      <c r="B13" s="4" t="s">
        <v>15</v>
      </c>
      <c r="C13" s="5"/>
      <c r="D13" s="5"/>
      <c r="E13" s="5"/>
      <c r="F13" s="5"/>
    </row>
    <row r="14" customFormat="false" ht="25.5" hidden="false" customHeight="true" outlineLevel="0" collapsed="false">
      <c r="B14" s="6" t="s">
        <v>16</v>
      </c>
      <c r="C14" s="7" t="s">
        <v>17</v>
      </c>
      <c r="D14" s="7"/>
      <c r="E14" s="7"/>
      <c r="F14" s="7"/>
    </row>
    <row r="15" customFormat="false" ht="25.5" hidden="false" customHeight="true" outlineLevel="0" collapsed="false">
      <c r="B15" s="6" t="s">
        <v>18</v>
      </c>
      <c r="C15" s="7" t="s">
        <v>19</v>
      </c>
      <c r="D15" s="7"/>
      <c r="E15" s="7"/>
      <c r="F15" s="7"/>
    </row>
    <row r="16" customFormat="false" ht="25.5" hidden="false" customHeight="true" outlineLevel="0" collapsed="false">
      <c r="B16" s="6" t="s">
        <v>20</v>
      </c>
      <c r="C16" s="7" t="s">
        <v>21</v>
      </c>
      <c r="D16" s="7"/>
      <c r="E16" s="7"/>
      <c r="F16" s="7"/>
    </row>
    <row r="18" customFormat="false" ht="15" hidden="false" customHeight="true" outlineLevel="0" collapsed="false">
      <c r="B18" s="4" t="s">
        <v>22</v>
      </c>
      <c r="C18" s="5"/>
      <c r="D18" s="5"/>
      <c r="E18" s="5"/>
      <c r="F18" s="5"/>
    </row>
    <row r="19" customFormat="false" ht="25.5" hidden="false" customHeight="true" outlineLevel="0" collapsed="false">
      <c r="B19" s="6" t="s">
        <v>23</v>
      </c>
      <c r="C19" s="7" t="s">
        <v>24</v>
      </c>
      <c r="D19" s="7"/>
      <c r="E19" s="7"/>
      <c r="F19" s="7"/>
    </row>
    <row r="20" customFormat="false" ht="25.5" hidden="false" customHeight="true" outlineLevel="0" collapsed="false">
      <c r="B20" s="6" t="s">
        <v>25</v>
      </c>
      <c r="C20" s="7" t="s">
        <v>26</v>
      </c>
      <c r="D20" s="7"/>
      <c r="E20" s="7"/>
      <c r="F20" s="7"/>
    </row>
    <row r="22" customFormat="false" ht="15" hidden="false" customHeight="true" outlineLevel="0" collapsed="false">
      <c r="B22" s="10" t="s">
        <v>27</v>
      </c>
    </row>
    <row r="23" customFormat="false" ht="57" hidden="false" customHeight="true" outlineLevel="0" collapsed="false">
      <c r="B23" s="6" t="s">
        <v>28</v>
      </c>
      <c r="C23" s="11" t="s">
        <v>29</v>
      </c>
    </row>
    <row r="24" customFormat="false" ht="57" hidden="false" customHeight="true" outlineLevel="0" collapsed="false">
      <c r="B24" s="6" t="s">
        <v>30</v>
      </c>
      <c r="C24" s="11" t="s">
        <v>31</v>
      </c>
    </row>
    <row r="25" customFormat="false" ht="68.25" hidden="false" customHeight="true" outlineLevel="0" collapsed="false">
      <c r="B25" s="6" t="s">
        <v>32</v>
      </c>
      <c r="C25" s="11" t="s">
        <v>33</v>
      </c>
    </row>
    <row r="26" customFormat="false" ht="79.5" hidden="false" customHeight="true" outlineLevel="0" collapsed="false">
      <c r="B26" s="6" t="s">
        <v>34</v>
      </c>
      <c r="C26" s="11" t="s">
        <v>35</v>
      </c>
    </row>
    <row r="27" customFormat="false" ht="68.25" hidden="false" customHeight="true" outlineLevel="0" collapsed="false">
      <c r="B27" s="6" t="s">
        <v>36</v>
      </c>
      <c r="C27" s="11" t="s">
        <v>37</v>
      </c>
    </row>
    <row r="28" customFormat="false" ht="57" hidden="false" customHeight="true" outlineLevel="0" collapsed="false">
      <c r="B28" s="6" t="s">
        <v>38</v>
      </c>
      <c r="C28" s="11" t="s">
        <v>39</v>
      </c>
    </row>
    <row r="30" customFormat="false" ht="15" hidden="false" customHeight="false" outlineLevel="0" collapsed="false">
      <c r="B30" s="12" t="s">
        <v>40</v>
      </c>
    </row>
    <row r="31" customFormat="false" ht="23.85" hidden="false" customHeight="false" outlineLevel="0" collapsed="false">
      <c r="B31" s="13" t="s">
        <v>41</v>
      </c>
      <c r="C31" s="11" t="s">
        <v>42</v>
      </c>
    </row>
    <row r="32" customFormat="false" ht="57.45" hidden="false" customHeight="false" outlineLevel="0" collapsed="false">
      <c r="B32" s="13" t="s">
        <v>43</v>
      </c>
      <c r="C32" s="11" t="s">
        <v>44</v>
      </c>
    </row>
    <row r="33" customFormat="false" ht="46.25" hidden="false" customHeight="false" outlineLevel="0" collapsed="false">
      <c r="B33" s="13" t="s">
        <v>45</v>
      </c>
      <c r="C33" s="11" t="s">
        <v>46</v>
      </c>
    </row>
    <row r="34" customFormat="false" ht="57.45" hidden="false" customHeight="false" outlineLevel="0" collapsed="false">
      <c r="B34" s="13" t="s">
        <v>47</v>
      </c>
      <c r="C34" s="11" t="s">
        <v>48</v>
      </c>
    </row>
    <row r="35" customFormat="false" ht="91" hidden="false" customHeight="false" outlineLevel="0" collapsed="false">
      <c r="B35" s="13" t="s">
        <v>49</v>
      </c>
      <c r="C35" s="11" t="s">
        <v>50</v>
      </c>
    </row>
    <row r="36" customFormat="false" ht="68.65" hidden="false" customHeight="false" outlineLevel="0" collapsed="false">
      <c r="B36" s="13" t="s">
        <v>51</v>
      </c>
      <c r="C36" s="11" t="s">
        <v>52</v>
      </c>
    </row>
  </sheetData>
  <mergeCells count="11">
    <mergeCell ref="C6:F6"/>
    <mergeCell ref="C7:F7"/>
    <mergeCell ref="C8:F8"/>
    <mergeCell ref="C9:F9"/>
    <mergeCell ref="C10:F10"/>
    <mergeCell ref="C11:F11"/>
    <mergeCell ref="C14:F14"/>
    <mergeCell ref="C15:F15"/>
    <mergeCell ref="C16:F16"/>
    <mergeCell ref="C19:F19"/>
    <mergeCell ref="C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9"/>
    <col collapsed="false" customWidth="true" hidden="false" outlineLevel="0" max="6" min="6" style="1" width="20"/>
    <col collapsed="false" customWidth="true" hidden="false" outlineLevel="0" max="7" min="7" style="1" width="7"/>
    <col collapsed="false" customWidth="true" hidden="false" outlineLevel="0" max="9" min="8" style="1" width="8"/>
    <col collapsed="false" customWidth="true" hidden="false" outlineLevel="0" max="11" min="10" style="1" width="9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12"/>
    <col collapsed="false" customWidth="true" hidden="false" outlineLevel="0" max="18" min="16" style="1" width="10"/>
    <col collapsed="false" customWidth="true" hidden="false" outlineLevel="0" max="19" min="19" style="1" width="24"/>
    <col collapsed="false" customWidth="true" hidden="false" outlineLevel="0" max="20" min="20" style="1" width="14"/>
    <col collapsed="false" customWidth="true" hidden="false" outlineLevel="0" max="21" min="21" style="1" width="20"/>
    <col collapsed="false" customWidth="true" hidden="false" outlineLevel="0" max="22" min="22" style="1" width="30"/>
    <col collapsed="false" customWidth="true" hidden="false" outlineLevel="0" max="23" min="23" style="1" width="12"/>
    <col collapsed="false" customWidth="true" hidden="false" outlineLevel="0" max="24" min="24" style="1" width="22"/>
    <col collapsed="false" customWidth="true" hidden="false" outlineLevel="0" max="25" min="25" style="1" width="16"/>
    <col collapsed="false" customWidth="true" hidden="false" outlineLevel="0" max="26" min="26" style="1" width="46"/>
    <col collapsed="false" customWidth="true" hidden="false" outlineLevel="0" max="27" min="27" style="1" width="12"/>
    <col collapsed="false" customWidth="true" hidden="false" outlineLevel="0" max="28" min="28" style="1" width="16"/>
  </cols>
  <sheetData>
    <row r="1" customFormat="false" ht="30" hidden="false" customHeight="true" outlineLevel="0" collapsed="false">
      <c r="A1" s="14" t="s">
        <v>53</v>
      </c>
      <c r="B1" s="14" t="s">
        <v>54</v>
      </c>
      <c r="C1" s="14" t="s">
        <v>55</v>
      </c>
      <c r="D1" s="14" t="s">
        <v>56</v>
      </c>
      <c r="E1" s="14" t="s">
        <v>57</v>
      </c>
      <c r="F1" s="14" t="s">
        <v>58</v>
      </c>
      <c r="G1" s="14" t="s">
        <v>59</v>
      </c>
      <c r="H1" s="14" t="s">
        <v>60</v>
      </c>
      <c r="I1" s="14" t="s">
        <v>61</v>
      </c>
      <c r="J1" s="14" t="s">
        <v>62</v>
      </c>
      <c r="K1" s="14" t="s">
        <v>63</v>
      </c>
      <c r="L1" s="14" t="s">
        <v>64</v>
      </c>
      <c r="M1" s="14" t="s">
        <v>65</v>
      </c>
      <c r="N1" s="14" t="s">
        <v>66</v>
      </c>
      <c r="O1" s="14" t="s">
        <v>67</v>
      </c>
      <c r="P1" s="14" t="s">
        <v>68</v>
      </c>
      <c r="Q1" s="14" t="s">
        <v>69</v>
      </c>
      <c r="R1" s="14" t="s">
        <v>70</v>
      </c>
      <c r="S1" s="14" t="s">
        <v>71</v>
      </c>
      <c r="T1" s="14" t="s">
        <v>72</v>
      </c>
      <c r="U1" s="14" t="s">
        <v>73</v>
      </c>
      <c r="V1" s="14" t="s">
        <v>74</v>
      </c>
      <c r="W1" s="14" t="s">
        <v>75</v>
      </c>
      <c r="X1" s="14" t="s">
        <v>76</v>
      </c>
      <c r="Y1" s="14" t="s">
        <v>77</v>
      </c>
      <c r="Z1" s="14" t="s">
        <v>78</v>
      </c>
      <c r="AA1" s="14" t="s">
        <v>79</v>
      </c>
      <c r="AB1" s="14" t="s">
        <v>80</v>
      </c>
    </row>
    <row r="2" customFormat="false" ht="51.75" hidden="false" customHeight="true" outlineLevel="0" collapsed="false">
      <c r="A2" s="15" t="n">
        <v>1</v>
      </c>
      <c r="B2" s="15" t="s">
        <v>81</v>
      </c>
      <c r="C2" s="16" t="s">
        <v>82</v>
      </c>
      <c r="D2" s="15" t="s">
        <v>83</v>
      </c>
      <c r="E2" s="15" t="s">
        <v>84</v>
      </c>
      <c r="F2" s="15" t="s">
        <v>85</v>
      </c>
      <c r="G2" s="15" t="n">
        <v>195</v>
      </c>
      <c r="H2" s="15" t="n">
        <v>156</v>
      </c>
      <c r="I2" s="17" t="n">
        <v>1</v>
      </c>
      <c r="J2" s="18"/>
      <c r="K2" s="19" t="str">
        <f aca="false">IF(OR(J2="",H2=0),"",J2/H2)</f>
        <v/>
      </c>
      <c r="L2" s="19"/>
      <c r="M2" s="20" t="n">
        <v>800</v>
      </c>
      <c r="N2" s="19" t="n">
        <f aca="false">IF(OR(M2="",H2=0),"",M2/H2)</f>
        <v>5.12820512820513</v>
      </c>
      <c r="O2" s="18" t="n">
        <f aca="false">0.28*(G2+H2)</f>
        <v>98.28</v>
      </c>
      <c r="P2" s="18" t="n">
        <f aca="false">IF(M2="","",M2-O2)</f>
        <v>701.72</v>
      </c>
      <c r="Q2" s="18" t="n">
        <f aca="false">IF(OR(M2="",I2=0),"",P2/I2)</f>
        <v>701.72</v>
      </c>
      <c r="R2" s="15" t="str">
        <f aca="false">IF(M2="","",IF(AND(N2&gt;=1.5,Q2&gt;=572),"GO","NO"))</f>
        <v>GO</v>
      </c>
      <c r="S2" s="15" t="s">
        <v>86</v>
      </c>
      <c r="T2" s="15" t="s">
        <v>87</v>
      </c>
      <c r="U2" s="15" t="s">
        <v>88</v>
      </c>
      <c r="V2" s="15"/>
      <c r="W2" s="15" t="s">
        <v>89</v>
      </c>
      <c r="X2" s="15" t="s">
        <v>90</v>
      </c>
      <c r="Y2" s="15" t="s">
        <v>91</v>
      </c>
      <c r="Z2" s="15" t="s">
        <v>92</v>
      </c>
      <c r="AA2" s="15"/>
      <c r="AB2" s="15"/>
    </row>
    <row r="3" customFormat="false" ht="51.75" hidden="false" customHeight="true" outlineLevel="0" collapsed="false">
      <c r="A3" s="15" t="n">
        <v>2</v>
      </c>
      <c r="B3" s="15" t="s">
        <v>81</v>
      </c>
      <c r="C3" s="16" t="s">
        <v>82</v>
      </c>
      <c r="D3" s="15" t="s">
        <v>93</v>
      </c>
      <c r="E3" s="15" t="s">
        <v>84</v>
      </c>
      <c r="F3" s="15" t="s">
        <v>94</v>
      </c>
      <c r="G3" s="15" t="n">
        <v>135</v>
      </c>
      <c r="H3" s="15" t="n">
        <v>336</v>
      </c>
      <c r="I3" s="17" t="n">
        <v>1.5</v>
      </c>
      <c r="J3" s="18"/>
      <c r="K3" s="19" t="str">
        <f aca="false">IF(OR(J3="",H3=0),"",J3/H3)</f>
        <v/>
      </c>
      <c r="L3" s="19" t="n">
        <v>4.34</v>
      </c>
      <c r="M3" s="20" t="n">
        <v>1300</v>
      </c>
      <c r="N3" s="19" t="n">
        <f aca="false">IF(OR(M3="",H3=0),"",M3/H3)</f>
        <v>3.86904761904762</v>
      </c>
      <c r="O3" s="18" t="n">
        <f aca="false">0.28*(G3+H3)</f>
        <v>131.88</v>
      </c>
      <c r="P3" s="18" t="n">
        <f aca="false">IF(M3="","",M3-O3)</f>
        <v>1168.12</v>
      </c>
      <c r="Q3" s="18" t="n">
        <f aca="false">IF(OR(M3="",I3=0),"",P3/I3)</f>
        <v>778.746666666667</v>
      </c>
      <c r="R3" s="15" t="str">
        <f aca="false">IF(M3="","",IF(AND(N3&gt;=1.5,Q3&gt;=572),"GO","NO"))</f>
        <v>GO</v>
      </c>
      <c r="S3" s="15" t="s">
        <v>95</v>
      </c>
      <c r="T3" s="15" t="s">
        <v>96</v>
      </c>
      <c r="U3" s="15" t="s">
        <v>97</v>
      </c>
      <c r="V3" s="15"/>
      <c r="W3" s="15" t="s">
        <v>98</v>
      </c>
      <c r="X3" s="15" t="s">
        <v>99</v>
      </c>
      <c r="Y3" s="15" t="s">
        <v>100</v>
      </c>
      <c r="Z3" s="15" t="s">
        <v>101</v>
      </c>
      <c r="AA3" s="15"/>
      <c r="AB3" s="15"/>
    </row>
    <row r="4" customFormat="false" ht="51.75" hidden="false" customHeight="true" outlineLevel="0" collapsed="false">
      <c r="A4" s="15" t="n">
        <v>3</v>
      </c>
      <c r="B4" s="15" t="s">
        <v>81</v>
      </c>
      <c r="C4" s="16" t="s">
        <v>102</v>
      </c>
      <c r="D4" s="15" t="s">
        <v>103</v>
      </c>
      <c r="E4" s="15" t="s">
        <v>84</v>
      </c>
      <c r="F4" s="15" t="s">
        <v>104</v>
      </c>
      <c r="G4" s="15" t="n">
        <v>96</v>
      </c>
      <c r="H4" s="15" t="n">
        <v>738</v>
      </c>
      <c r="I4" s="17" t="n">
        <v>2</v>
      </c>
      <c r="J4" s="18" t="n">
        <v>1000</v>
      </c>
      <c r="K4" s="19" t="n">
        <f aca="false">IF(OR(J4="",H4=0),"",J4/H4)</f>
        <v>1.3550135501355</v>
      </c>
      <c r="L4" s="19"/>
      <c r="M4" s="20" t="n">
        <v>1700</v>
      </c>
      <c r="N4" s="19" t="n">
        <f aca="false">IF(OR(M4="",H4=0),"",M4/H4)</f>
        <v>2.30352303523035</v>
      </c>
      <c r="O4" s="18" t="n">
        <f aca="false">0.28*(G4+H4)</f>
        <v>233.52</v>
      </c>
      <c r="P4" s="18" t="n">
        <f aca="false">IF(M4="","",M4-O4)</f>
        <v>1466.48</v>
      </c>
      <c r="Q4" s="18" t="n">
        <f aca="false">IF(OR(M4="",I4=0),"",P4/I4)</f>
        <v>733.24</v>
      </c>
      <c r="R4" s="15" t="str">
        <f aca="false">IF(M4="","",IF(AND(N4&gt;=1.5,Q4&gt;=572),"GO","NO"))</f>
        <v>GO</v>
      </c>
      <c r="S4" s="15" t="s">
        <v>105</v>
      </c>
      <c r="T4" s="15" t="s">
        <v>106</v>
      </c>
      <c r="U4" s="15" t="s">
        <v>107</v>
      </c>
      <c r="V4" s="15"/>
      <c r="W4" s="15" t="s">
        <v>108</v>
      </c>
      <c r="X4" s="15" t="s">
        <v>109</v>
      </c>
      <c r="Y4" s="15" t="s">
        <v>110</v>
      </c>
      <c r="Z4" s="15" t="s">
        <v>111</v>
      </c>
      <c r="AA4" s="15"/>
      <c r="AB4" s="15"/>
    </row>
    <row r="5" customFormat="false" ht="51.75" hidden="false" customHeight="true" outlineLevel="0" collapsed="false">
      <c r="A5" s="15" t="n">
        <v>4</v>
      </c>
      <c r="B5" s="15" t="s">
        <v>81</v>
      </c>
      <c r="C5" s="21" t="s">
        <v>112</v>
      </c>
      <c r="D5" s="15" t="s">
        <v>113</v>
      </c>
      <c r="E5" s="15" t="s">
        <v>84</v>
      </c>
      <c r="F5" s="15" t="s">
        <v>114</v>
      </c>
      <c r="G5" s="15" t="n">
        <v>130</v>
      </c>
      <c r="H5" s="15" t="n">
        <v>577</v>
      </c>
      <c r="I5" s="17" t="n">
        <v>2</v>
      </c>
      <c r="J5" s="18" t="n">
        <v>1400</v>
      </c>
      <c r="K5" s="19" t="n">
        <f aca="false">IF(OR(J5="",H5=0),"",J5/H5)</f>
        <v>2.4263431542461</v>
      </c>
      <c r="L5" s="19" t="n">
        <v>3.82</v>
      </c>
      <c r="M5" s="20" t="n">
        <v>1750</v>
      </c>
      <c r="N5" s="19" t="n">
        <f aca="false">IF(OR(M5="",H5=0),"",M5/H5)</f>
        <v>3.03292894280763</v>
      </c>
      <c r="O5" s="18" t="n">
        <f aca="false">0.28*(G5+H5)</f>
        <v>197.96</v>
      </c>
      <c r="P5" s="18" t="n">
        <f aca="false">IF(M5="","",M5-O5)</f>
        <v>1552.04</v>
      </c>
      <c r="Q5" s="18" t="n">
        <f aca="false">IF(OR(M5="",I5=0),"",P5/I5)</f>
        <v>776.02</v>
      </c>
      <c r="R5" s="15" t="str">
        <f aca="false">IF(M5="","",IF(AND(N5&gt;=1.5,Q5&gt;=572),"GO","NO"))</f>
        <v>GO</v>
      </c>
      <c r="S5" s="15" t="s">
        <v>115</v>
      </c>
      <c r="T5" s="15" t="s">
        <v>116</v>
      </c>
      <c r="U5" s="15" t="s">
        <v>117</v>
      </c>
      <c r="V5" s="15" t="s">
        <v>118</v>
      </c>
      <c r="W5" s="15"/>
      <c r="X5" s="15" t="s">
        <v>119</v>
      </c>
      <c r="Y5" s="15" t="s">
        <v>120</v>
      </c>
      <c r="Z5" s="15" t="s">
        <v>121</v>
      </c>
      <c r="AA5" s="15"/>
      <c r="AB5" s="15"/>
    </row>
    <row r="6" customFormat="false" ht="51.75" hidden="false" customHeight="true" outlineLevel="0" collapsed="false">
      <c r="A6" s="15" t="n">
        <v>5</v>
      </c>
      <c r="B6" s="15" t="s">
        <v>81</v>
      </c>
      <c r="C6" s="21" t="s">
        <v>112</v>
      </c>
      <c r="D6" s="15" t="s">
        <v>122</v>
      </c>
      <c r="E6" s="15" t="s">
        <v>84</v>
      </c>
      <c r="F6" s="15" t="s">
        <v>123</v>
      </c>
      <c r="G6" s="15" t="n">
        <v>27</v>
      </c>
      <c r="H6" s="15" t="n">
        <v>847</v>
      </c>
      <c r="I6" s="17" t="n">
        <v>3</v>
      </c>
      <c r="J6" s="18" t="n">
        <v>2200</v>
      </c>
      <c r="K6" s="19" t="n">
        <f aca="false">IF(OR(J6="",H6=0),"",J6/H6)</f>
        <v>2.5974025974026</v>
      </c>
      <c r="L6" s="19"/>
      <c r="M6" s="20" t="n">
        <v>2600</v>
      </c>
      <c r="N6" s="19" t="n">
        <f aca="false">IF(OR(M6="",H6=0),"",M6/H6)</f>
        <v>3.06965761511216</v>
      </c>
      <c r="O6" s="18" t="n">
        <f aca="false">0.28*(G6+H6)</f>
        <v>244.72</v>
      </c>
      <c r="P6" s="18" t="n">
        <f aca="false">IF(M6="","",M6-O6)</f>
        <v>2355.28</v>
      </c>
      <c r="Q6" s="18" t="n">
        <f aca="false">IF(OR(M6="",I6=0),"",P6/I6)</f>
        <v>785.093333333333</v>
      </c>
      <c r="R6" s="15" t="str">
        <f aca="false">IF(M6="","",IF(AND(N6&gt;=1.5,Q6&gt;=572),"GO","NO"))</f>
        <v>GO</v>
      </c>
      <c r="S6" s="15" t="s">
        <v>115</v>
      </c>
      <c r="T6" s="15" t="s">
        <v>116</v>
      </c>
      <c r="U6" s="15" t="s">
        <v>117</v>
      </c>
      <c r="V6" s="15" t="s">
        <v>118</v>
      </c>
      <c r="W6" s="15"/>
      <c r="X6" s="15" t="s">
        <v>119</v>
      </c>
      <c r="Y6" s="15" t="s">
        <v>124</v>
      </c>
      <c r="Z6" s="15" t="s">
        <v>125</v>
      </c>
      <c r="AA6" s="15"/>
      <c r="AB6" s="15"/>
    </row>
    <row r="7" customFormat="false" ht="51.75" hidden="false" customHeight="true" outlineLevel="0" collapsed="false">
      <c r="A7" s="15" t="n">
        <v>6</v>
      </c>
      <c r="B7" s="15" t="s">
        <v>126</v>
      </c>
      <c r="C7" s="16" t="s">
        <v>82</v>
      </c>
      <c r="D7" s="15" t="s">
        <v>127</v>
      </c>
      <c r="E7" s="15" t="s">
        <v>84</v>
      </c>
      <c r="F7" s="15" t="s">
        <v>128</v>
      </c>
      <c r="G7" s="15" t="n">
        <v>148</v>
      </c>
      <c r="H7" s="15" t="n">
        <v>141</v>
      </c>
      <c r="I7" s="17" t="n">
        <v>1</v>
      </c>
      <c r="J7" s="18"/>
      <c r="K7" s="19" t="str">
        <f aca="false">IF(OR(J7="",H7=0),"",J7/H7)</f>
        <v/>
      </c>
      <c r="L7" s="19" t="n">
        <v>6.71</v>
      </c>
      <c r="M7" s="20" t="n">
        <v>850</v>
      </c>
      <c r="N7" s="19" t="n">
        <f aca="false">IF(OR(M7="",H7=0),"",M7/H7)</f>
        <v>6.02836879432624</v>
      </c>
      <c r="O7" s="18" t="n">
        <f aca="false">0.28*(G7+H7)</f>
        <v>80.92</v>
      </c>
      <c r="P7" s="18" t="n">
        <f aca="false">IF(M7="","",M7-O7)</f>
        <v>769.08</v>
      </c>
      <c r="Q7" s="18" t="n">
        <f aca="false">IF(OR(M7="",I7=0),"",P7/I7)</f>
        <v>769.08</v>
      </c>
      <c r="R7" s="15" t="str">
        <f aca="false">IF(M7="","",IF(AND(N7&gt;=1.5,Q7&gt;=572),"GO","NO"))</f>
        <v>GO</v>
      </c>
      <c r="S7" s="15" t="s">
        <v>129</v>
      </c>
      <c r="T7" s="15" t="s">
        <v>130</v>
      </c>
      <c r="U7" s="15" t="s">
        <v>131</v>
      </c>
      <c r="V7" s="15" t="s">
        <v>132</v>
      </c>
      <c r="W7" s="15" t="s">
        <v>133</v>
      </c>
      <c r="X7" s="15" t="s">
        <v>134</v>
      </c>
      <c r="Y7" s="15" t="s">
        <v>135</v>
      </c>
      <c r="Z7" s="15" t="s">
        <v>136</v>
      </c>
      <c r="AA7" s="15"/>
      <c r="AB7" s="15"/>
    </row>
    <row r="8" customFormat="false" ht="51.75" hidden="false" customHeight="true" outlineLevel="0" collapsed="false">
      <c r="A8" s="15" t="n">
        <v>7</v>
      </c>
      <c r="B8" s="15" t="s">
        <v>126</v>
      </c>
      <c r="C8" s="16" t="s">
        <v>82</v>
      </c>
      <c r="D8" s="15" t="s">
        <v>137</v>
      </c>
      <c r="E8" s="15" t="s">
        <v>84</v>
      </c>
      <c r="F8" s="15" t="s">
        <v>138</v>
      </c>
      <c r="G8" s="15" t="n">
        <v>172</v>
      </c>
      <c r="H8" s="15" t="n">
        <v>153</v>
      </c>
      <c r="I8" s="17" t="n">
        <v>1</v>
      </c>
      <c r="J8" s="18" t="n">
        <v>600</v>
      </c>
      <c r="K8" s="19" t="n">
        <f aca="false">IF(OR(J8="",H8=0),"",J8/H8)</f>
        <v>3.92156862745098</v>
      </c>
      <c r="L8" s="19"/>
      <c r="M8" s="20" t="n">
        <v>750</v>
      </c>
      <c r="N8" s="19" t="n">
        <f aca="false">IF(OR(M8="",H8=0),"",M8/H8)</f>
        <v>4.90196078431373</v>
      </c>
      <c r="O8" s="18" t="n">
        <f aca="false">0.28*(G8+H8)</f>
        <v>91</v>
      </c>
      <c r="P8" s="18" t="n">
        <f aca="false">IF(M8="","",M8-O8)</f>
        <v>659</v>
      </c>
      <c r="Q8" s="18" t="n">
        <f aca="false">IF(OR(M8="",I8=0),"",P8/I8)</f>
        <v>659</v>
      </c>
      <c r="R8" s="15" t="str">
        <f aca="false">IF(M8="","",IF(AND(N8&gt;=1.5,Q8&gt;=572),"GO","NO"))</f>
        <v>GO</v>
      </c>
      <c r="S8" s="15" t="s">
        <v>105</v>
      </c>
      <c r="T8" s="15" t="s">
        <v>106</v>
      </c>
      <c r="U8" s="15" t="s">
        <v>107</v>
      </c>
      <c r="V8" s="15"/>
      <c r="W8" s="15" t="s">
        <v>139</v>
      </c>
      <c r="X8" s="15" t="s">
        <v>109</v>
      </c>
      <c r="Y8" s="15" t="s">
        <v>140</v>
      </c>
      <c r="Z8" s="15" t="s">
        <v>141</v>
      </c>
      <c r="AA8" s="15"/>
      <c r="AB8" s="15"/>
    </row>
    <row r="9" customFormat="false" ht="51.75" hidden="false" customHeight="true" outlineLevel="0" collapsed="false">
      <c r="A9" s="15" t="n">
        <v>8</v>
      </c>
      <c r="B9" s="15" t="s">
        <v>81</v>
      </c>
      <c r="C9" s="21" t="s">
        <v>112</v>
      </c>
      <c r="D9" s="15" t="s">
        <v>142</v>
      </c>
      <c r="E9" s="15" t="s">
        <v>143</v>
      </c>
      <c r="F9" s="15" t="s">
        <v>144</v>
      </c>
      <c r="G9" s="15" t="n">
        <v>75</v>
      </c>
      <c r="H9" s="15" t="n">
        <v>396</v>
      </c>
      <c r="I9" s="17" t="n">
        <v>1.5</v>
      </c>
      <c r="J9" s="18" t="n">
        <v>450</v>
      </c>
      <c r="K9" s="19" t="n">
        <f aca="false">IF(OR(J9="",H9=0),"",J9/H9)</f>
        <v>1.13636363636364</v>
      </c>
      <c r="L9" s="19" t="n">
        <v>3.78</v>
      </c>
      <c r="M9" s="20"/>
      <c r="N9" s="19" t="str">
        <f aca="false">IF(OR(M9="",H9=0),"",M9/H9)</f>
        <v/>
      </c>
      <c r="O9" s="18" t="n">
        <f aca="false">0.28*(G9+H9)</f>
        <v>131.88</v>
      </c>
      <c r="P9" s="18" t="str">
        <f aca="false">IF(M9="","",M9-O9)</f>
        <v/>
      </c>
      <c r="Q9" s="18" t="str">
        <f aca="false">IF(OR(M9="",I9=0),"",P9/I9)</f>
        <v/>
      </c>
      <c r="R9" s="15" t="str">
        <f aca="false">IF(M9="","",IF(AND(N9&gt;=1.5,Q9&gt;=572),"GO","NO"))</f>
        <v/>
      </c>
      <c r="S9" s="15" t="s">
        <v>145</v>
      </c>
      <c r="T9" s="15" t="s">
        <v>146</v>
      </c>
      <c r="U9" s="15"/>
      <c r="V9" s="15"/>
      <c r="W9" s="15"/>
      <c r="X9" s="15" t="s">
        <v>147</v>
      </c>
      <c r="Y9" s="15" t="s">
        <v>148</v>
      </c>
      <c r="Z9" s="15" t="s">
        <v>149</v>
      </c>
      <c r="AA9" s="15"/>
      <c r="AB9" s="15"/>
    </row>
    <row r="10" customFormat="false" ht="51.75" hidden="false" customHeight="true" outlineLevel="0" collapsed="false">
      <c r="A10" s="15" t="n">
        <v>9</v>
      </c>
      <c r="B10" s="15" t="s">
        <v>126</v>
      </c>
      <c r="C10" s="21" t="s">
        <v>112</v>
      </c>
      <c r="D10" s="15" t="s">
        <v>150</v>
      </c>
      <c r="E10" s="15" t="s">
        <v>84</v>
      </c>
      <c r="F10" s="15" t="s">
        <v>151</v>
      </c>
      <c r="G10" s="15" t="n">
        <v>188</v>
      </c>
      <c r="H10" s="15" t="n">
        <v>154</v>
      </c>
      <c r="I10" s="17" t="n">
        <v>1</v>
      </c>
      <c r="J10" s="18" t="n">
        <v>550</v>
      </c>
      <c r="K10" s="19" t="n">
        <f aca="false">IF(OR(J10="",H10=0),"",J10/H10)</f>
        <v>3.57142857142857</v>
      </c>
      <c r="L10" s="19"/>
      <c r="M10" s="20"/>
      <c r="N10" s="19" t="str">
        <f aca="false">IF(OR(M10="",H10=0),"",M10/H10)</f>
        <v/>
      </c>
      <c r="O10" s="18" t="n">
        <f aca="false">0.28*(G10+H10)</f>
        <v>95.76</v>
      </c>
      <c r="P10" s="18" t="str">
        <f aca="false">IF(M10="","",M10-O10)</f>
        <v/>
      </c>
      <c r="Q10" s="18" t="str">
        <f aca="false">IF(OR(M10="",I10=0),"",P10/I10)</f>
        <v/>
      </c>
      <c r="R10" s="15" t="str">
        <f aca="false">IF(M10="","",IF(AND(N10&gt;=1.5,Q10&gt;=572),"GO","NO"))</f>
        <v/>
      </c>
      <c r="S10" s="15" t="s">
        <v>105</v>
      </c>
      <c r="T10" s="15"/>
      <c r="U10" s="15" t="s">
        <v>152</v>
      </c>
      <c r="V10" s="15"/>
      <c r="W10" s="15" t="s">
        <v>153</v>
      </c>
      <c r="X10" s="15" t="s">
        <v>109</v>
      </c>
      <c r="Y10" s="15" t="s">
        <v>154</v>
      </c>
      <c r="Z10" s="15" t="s">
        <v>155</v>
      </c>
      <c r="AA10" s="15"/>
      <c r="AB10" s="15"/>
    </row>
    <row r="11" customFormat="false" ht="51.75" hidden="false" customHeight="true" outlineLevel="0" collapsed="false">
      <c r="A11" s="15" t="n">
        <v>10</v>
      </c>
      <c r="B11" s="15" t="s">
        <v>126</v>
      </c>
      <c r="C11" s="21" t="s">
        <v>112</v>
      </c>
      <c r="D11" s="15" t="s">
        <v>156</v>
      </c>
      <c r="E11" s="15" t="s">
        <v>84</v>
      </c>
      <c r="F11" s="15" t="s">
        <v>157</v>
      </c>
      <c r="G11" s="15" t="n">
        <v>148</v>
      </c>
      <c r="H11" s="15" t="n">
        <v>699</v>
      </c>
      <c r="I11" s="17" t="n">
        <v>2</v>
      </c>
      <c r="J11" s="18" t="n">
        <v>2070</v>
      </c>
      <c r="K11" s="19" t="n">
        <f aca="false">IF(OR(J11="",H11=0),"",J11/H11)</f>
        <v>2.96137339055794</v>
      </c>
      <c r="L11" s="19"/>
      <c r="M11" s="20"/>
      <c r="N11" s="19" t="str">
        <f aca="false">IF(OR(M11="",H11=0),"",M11/H11)</f>
        <v/>
      </c>
      <c r="O11" s="18" t="n">
        <f aca="false">0.28*(G11+H11)</f>
        <v>237.16</v>
      </c>
      <c r="P11" s="18" t="str">
        <f aca="false">IF(M11="","",M11-O11)</f>
        <v/>
      </c>
      <c r="Q11" s="18" t="str">
        <f aca="false">IF(OR(M11="",I11=0),"",P11/I11)</f>
        <v/>
      </c>
      <c r="R11" s="15" t="str">
        <f aca="false">IF(M11="","",IF(AND(N11&gt;=1.5,Q11&gt;=572),"GO","NO"))</f>
        <v/>
      </c>
      <c r="S11" s="15" t="s">
        <v>158</v>
      </c>
      <c r="T11" s="15" t="s">
        <v>159</v>
      </c>
      <c r="U11" s="15" t="s">
        <v>160</v>
      </c>
      <c r="V11" s="15" t="s">
        <v>161</v>
      </c>
      <c r="W11" s="15"/>
      <c r="X11" s="15" t="s">
        <v>162</v>
      </c>
      <c r="Y11" s="15" t="s">
        <v>163</v>
      </c>
      <c r="Z11" s="15" t="s">
        <v>164</v>
      </c>
      <c r="AA11" s="15"/>
      <c r="AB11" s="15"/>
    </row>
    <row r="12" customFormat="false" ht="21.75" hidden="false" customHeight="true" outlineLevel="0" collapsed="false">
      <c r="A12" s="15" t="n">
        <v>11</v>
      </c>
      <c r="B12" s="15" t="s">
        <v>81</v>
      </c>
      <c r="C12" s="21" t="s">
        <v>112</v>
      </c>
      <c r="D12" s="15" t="s">
        <v>165</v>
      </c>
      <c r="E12" s="15" t="s">
        <v>166</v>
      </c>
      <c r="F12" s="15" t="s">
        <v>167</v>
      </c>
      <c r="G12" s="15" t="n">
        <v>180</v>
      </c>
      <c r="H12" s="15" t="n">
        <v>182</v>
      </c>
      <c r="I12" s="17" t="n">
        <v>1</v>
      </c>
      <c r="J12" s="18" t="n">
        <v>400</v>
      </c>
      <c r="K12" s="19" t="n">
        <f aca="false">IF(OR(J12="",H12=0),"",J12/H12)</f>
        <v>2.1978021978022</v>
      </c>
      <c r="L12" s="19"/>
      <c r="M12" s="20"/>
      <c r="N12" s="19" t="str">
        <f aca="false">IF(OR(M12="",H12=0),"",M12/H12)</f>
        <v/>
      </c>
      <c r="O12" s="18" t="n">
        <f aca="false">0.28*(G12+H12)</f>
        <v>101.36</v>
      </c>
      <c r="P12" s="18" t="str">
        <f aca="false">IF(M12="","",M12-O12)</f>
        <v/>
      </c>
      <c r="Q12" s="18" t="str">
        <f aca="false">IF(OR(M12="",I12=0),"",P12/I12)</f>
        <v/>
      </c>
      <c r="R12" s="15" t="str">
        <f aca="false">IF(M12="","",IF(AND(N12&gt;=1.5,Q12&gt;=572),"GO","NO"))</f>
        <v/>
      </c>
      <c r="S12" s="15" t="s">
        <v>105</v>
      </c>
      <c r="T12" s="15"/>
      <c r="U12" s="15" t="s">
        <v>107</v>
      </c>
      <c r="V12" s="15"/>
      <c r="W12" s="15"/>
      <c r="X12" s="15" t="s">
        <v>109</v>
      </c>
      <c r="Y12" s="15" t="s">
        <v>168</v>
      </c>
      <c r="Z12" s="15" t="s">
        <v>169</v>
      </c>
      <c r="AA12" s="15"/>
      <c r="AB12" s="15"/>
    </row>
    <row r="13" customFormat="false" ht="39.75" hidden="false" customHeight="true" outlineLevel="0" collapsed="false">
      <c r="A13" s="15" t="n">
        <v>12</v>
      </c>
      <c r="B13" s="15" t="s">
        <v>81</v>
      </c>
      <c r="C13" s="21" t="s">
        <v>112</v>
      </c>
      <c r="D13" s="15" t="s">
        <v>170</v>
      </c>
      <c r="E13" s="15" t="s">
        <v>171</v>
      </c>
      <c r="F13" s="15" t="s">
        <v>172</v>
      </c>
      <c r="G13" s="15" t="n">
        <v>33</v>
      </c>
      <c r="H13" s="15" t="n">
        <v>204</v>
      </c>
      <c r="I13" s="17" t="n">
        <v>1</v>
      </c>
      <c r="J13" s="18" t="n">
        <v>400</v>
      </c>
      <c r="K13" s="19" t="n">
        <f aca="false">IF(OR(J13="",H13=0),"",J13/H13)</f>
        <v>1.96078431372549</v>
      </c>
      <c r="L13" s="19"/>
      <c r="M13" s="20"/>
      <c r="N13" s="19" t="str">
        <f aca="false">IF(OR(M13="",H13=0),"",M13/H13)</f>
        <v/>
      </c>
      <c r="O13" s="18" t="n">
        <f aca="false">0.28*(G13+H13)</f>
        <v>66.36</v>
      </c>
      <c r="P13" s="18" t="str">
        <f aca="false">IF(M13="","",M13-O13)</f>
        <v/>
      </c>
      <c r="Q13" s="18" t="str">
        <f aca="false">IF(OR(M13="",I13=0),"",P13/I13)</f>
        <v/>
      </c>
      <c r="R13" s="15" t="str">
        <f aca="false">IF(M13="","",IF(AND(N13&gt;=1.5,Q13&gt;=572),"GO","NO"))</f>
        <v/>
      </c>
      <c r="S13" s="15" t="s">
        <v>115</v>
      </c>
      <c r="T13" s="15" t="s">
        <v>116</v>
      </c>
      <c r="U13" s="15" t="s">
        <v>117</v>
      </c>
      <c r="V13" s="15" t="s">
        <v>118</v>
      </c>
      <c r="W13" s="15"/>
      <c r="X13" s="15" t="s">
        <v>119</v>
      </c>
      <c r="Y13" s="15" t="s">
        <v>173</v>
      </c>
      <c r="Z13" s="15" t="s">
        <v>174</v>
      </c>
      <c r="AA13" s="15"/>
      <c r="AB13" s="15"/>
    </row>
    <row r="14" customFormat="false" ht="21.75" hidden="false" customHeight="true" outlineLevel="0" collapsed="false">
      <c r="A14" s="15" t="n">
        <v>13</v>
      </c>
      <c r="B14" s="15" t="s">
        <v>81</v>
      </c>
      <c r="C14" s="21" t="s">
        <v>112</v>
      </c>
      <c r="D14" s="15" t="s">
        <v>175</v>
      </c>
      <c r="E14" s="15" t="s">
        <v>84</v>
      </c>
      <c r="F14" s="15" t="s">
        <v>176</v>
      </c>
      <c r="G14" s="15" t="n">
        <v>23</v>
      </c>
      <c r="H14" s="15" t="n">
        <v>113</v>
      </c>
      <c r="I14" s="17" t="n">
        <v>1</v>
      </c>
      <c r="J14" s="18" t="n">
        <v>675</v>
      </c>
      <c r="K14" s="19" t="n">
        <f aca="false">IF(OR(J14="",H14=0),"",J14/H14)</f>
        <v>5.97345132743363</v>
      </c>
      <c r="L14" s="19"/>
      <c r="M14" s="20"/>
      <c r="N14" s="19" t="str">
        <f aca="false">IF(OR(M14="",H14=0),"",M14/H14)</f>
        <v/>
      </c>
      <c r="O14" s="18" t="n">
        <f aca="false">0.28*(G14+H14)</f>
        <v>38.08</v>
      </c>
      <c r="P14" s="18" t="str">
        <f aca="false">IF(M14="","",M14-O14)</f>
        <v/>
      </c>
      <c r="Q14" s="18" t="str">
        <f aca="false">IF(OR(M14="",I14=0),"",P14/I14)</f>
        <v/>
      </c>
      <c r="R14" s="15" t="str">
        <f aca="false">IF(M14="","",IF(AND(N14&gt;=1.5,Q14&gt;=572),"GO","NO"))</f>
        <v/>
      </c>
      <c r="S14" s="15" t="s">
        <v>177</v>
      </c>
      <c r="T14" s="15"/>
      <c r="U14" s="15"/>
      <c r="V14" s="15"/>
      <c r="W14" s="15"/>
      <c r="X14" s="15"/>
      <c r="Y14" s="15" t="s">
        <v>178</v>
      </c>
      <c r="Z14" s="15" t="s">
        <v>179</v>
      </c>
      <c r="AA14" s="15"/>
      <c r="AB14" s="15"/>
    </row>
    <row r="15" customFormat="false" ht="21.75" hidden="false" customHeight="true" outlineLevel="0" collapsed="false">
      <c r="A15" s="15" t="n">
        <v>14</v>
      </c>
      <c r="B15" s="15" t="s">
        <v>81</v>
      </c>
      <c r="C15" s="21" t="s">
        <v>112</v>
      </c>
      <c r="D15" s="15" t="s">
        <v>180</v>
      </c>
      <c r="E15" s="15" t="s">
        <v>171</v>
      </c>
      <c r="F15" s="15" t="s">
        <v>181</v>
      </c>
      <c r="G15" s="15" t="n">
        <v>38</v>
      </c>
      <c r="H15" s="15" t="n">
        <v>99</v>
      </c>
      <c r="I15" s="17" t="n">
        <v>1</v>
      </c>
      <c r="J15" s="18" t="n">
        <v>600</v>
      </c>
      <c r="K15" s="19" t="n">
        <f aca="false">IF(OR(J15="",H15=0),"",J15/H15)</f>
        <v>6.06060606060606</v>
      </c>
      <c r="L15" s="19"/>
      <c r="M15" s="20"/>
      <c r="N15" s="19" t="str">
        <f aca="false">IF(OR(M15="",H15=0),"",M15/H15)</f>
        <v/>
      </c>
      <c r="O15" s="18" t="n">
        <f aca="false">0.28*(G15+H15)</f>
        <v>38.36</v>
      </c>
      <c r="P15" s="18" t="str">
        <f aca="false">IF(M15="","",M15-O15)</f>
        <v/>
      </c>
      <c r="Q15" s="18" t="str">
        <f aca="false">IF(OR(M15="",I15=0),"",P15/I15)</f>
        <v/>
      </c>
      <c r="R15" s="15" t="str">
        <f aca="false">IF(M15="","",IF(AND(N15&gt;=1.5,Q15&gt;=572),"GO","NO"))</f>
        <v/>
      </c>
      <c r="S15" s="15" t="s">
        <v>182</v>
      </c>
      <c r="T15" s="15"/>
      <c r="U15" s="15"/>
      <c r="V15" s="15"/>
      <c r="W15" s="15"/>
      <c r="X15" s="15"/>
      <c r="Y15" s="15" t="s">
        <v>183</v>
      </c>
      <c r="Z15" s="15" t="s">
        <v>184</v>
      </c>
      <c r="AA15" s="15"/>
      <c r="AB15" s="15"/>
    </row>
    <row r="17" customFormat="false" ht="15" hidden="false" customHeight="true" outlineLevel="0" collapsed="false">
      <c r="B17" s="22" t="s">
        <v>185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</sheetData>
  <mergeCells count="1">
    <mergeCell ref="B17:Z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60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30"/>
  </cols>
  <sheetData>
    <row r="1" customFormat="false" ht="15" hidden="false" customHeight="true" outlineLevel="0" collapsed="false">
      <c r="A1" s="23" t="s">
        <v>186</v>
      </c>
      <c r="B1" s="23" t="s">
        <v>187</v>
      </c>
      <c r="C1" s="23" t="s">
        <v>73</v>
      </c>
      <c r="D1" s="23" t="s">
        <v>188</v>
      </c>
      <c r="E1" s="23" t="s">
        <v>189</v>
      </c>
      <c r="F1" s="23" t="s">
        <v>190</v>
      </c>
      <c r="G1" s="23" t="s">
        <v>191</v>
      </c>
      <c r="H1" s="23" t="s">
        <v>192</v>
      </c>
      <c r="I1" s="23" t="s">
        <v>193</v>
      </c>
    </row>
    <row r="2" customFormat="false" ht="78" hidden="false" customHeight="true" outlineLevel="0" collapsed="false">
      <c r="A2" s="15" t="n">
        <v>1</v>
      </c>
      <c r="B2" s="15" t="s">
        <v>194</v>
      </c>
      <c r="C2" s="15" t="s">
        <v>88</v>
      </c>
      <c r="D2" s="15" t="s">
        <v>195</v>
      </c>
      <c r="E2" s="15" t="s">
        <v>196</v>
      </c>
      <c r="F2" s="15" t="s">
        <v>197</v>
      </c>
      <c r="G2" s="15" t="s">
        <v>198</v>
      </c>
      <c r="H2" s="15"/>
      <c r="I2" s="15"/>
    </row>
    <row r="3" customFormat="false" ht="78" hidden="false" customHeight="true" outlineLevel="0" collapsed="false">
      <c r="A3" s="15" t="n">
        <v>2</v>
      </c>
      <c r="B3" s="15" t="s">
        <v>199</v>
      </c>
      <c r="C3" s="15" t="s">
        <v>117</v>
      </c>
      <c r="D3" s="15" t="s">
        <v>200</v>
      </c>
      <c r="E3" s="15" t="s">
        <v>196</v>
      </c>
      <c r="F3" s="15" t="s">
        <v>201</v>
      </c>
      <c r="G3" s="15" t="s">
        <v>202</v>
      </c>
      <c r="H3" s="15"/>
      <c r="I3" s="15"/>
    </row>
    <row r="4" customFormat="false" ht="78" hidden="false" customHeight="true" outlineLevel="0" collapsed="false">
      <c r="A4" s="15" t="n">
        <v>3</v>
      </c>
      <c r="B4" s="15" t="s">
        <v>203</v>
      </c>
      <c r="C4" s="15" t="s">
        <v>97</v>
      </c>
      <c r="D4" s="15" t="s">
        <v>204</v>
      </c>
      <c r="E4" s="15" t="s">
        <v>205</v>
      </c>
      <c r="F4" s="15" t="s">
        <v>206</v>
      </c>
      <c r="G4" s="15" t="s">
        <v>207</v>
      </c>
      <c r="H4" s="15"/>
      <c r="I4" s="15"/>
    </row>
    <row r="5" customFormat="false" ht="78" hidden="false" customHeight="true" outlineLevel="0" collapsed="false">
      <c r="A5" s="15" t="n">
        <v>4</v>
      </c>
      <c r="B5" s="15" t="s">
        <v>208</v>
      </c>
      <c r="C5" s="15" t="s">
        <v>107</v>
      </c>
      <c r="D5" s="15" t="s">
        <v>209</v>
      </c>
      <c r="E5" s="15" t="s">
        <v>196</v>
      </c>
      <c r="F5" s="15" t="s">
        <v>210</v>
      </c>
      <c r="G5" s="15" t="s">
        <v>211</v>
      </c>
      <c r="H5" s="15"/>
      <c r="I5" s="15"/>
    </row>
    <row r="6" customFormat="false" ht="78" hidden="false" customHeight="true" outlineLevel="0" collapsed="false">
      <c r="A6" s="15" t="n">
        <v>5</v>
      </c>
      <c r="B6" s="15" t="s">
        <v>212</v>
      </c>
      <c r="C6" s="15" t="s">
        <v>131</v>
      </c>
      <c r="D6" s="15" t="s">
        <v>213</v>
      </c>
      <c r="E6" s="15" t="s">
        <v>214</v>
      </c>
      <c r="F6" s="15" t="s">
        <v>215</v>
      </c>
      <c r="G6" s="15" t="s">
        <v>216</v>
      </c>
      <c r="H6" s="15"/>
      <c r="I6" s="15"/>
    </row>
    <row r="7" customFormat="false" ht="78" hidden="false" customHeight="true" outlineLevel="0" collapsed="false">
      <c r="A7" s="15" t="n">
        <v>6</v>
      </c>
      <c r="B7" s="15" t="s">
        <v>217</v>
      </c>
      <c r="C7" s="15" t="s">
        <v>107</v>
      </c>
      <c r="D7" s="15" t="s">
        <v>218</v>
      </c>
      <c r="E7" s="15" t="s">
        <v>196</v>
      </c>
      <c r="F7" s="15" t="s">
        <v>219</v>
      </c>
      <c r="G7" s="15" t="s">
        <v>220</v>
      </c>
      <c r="H7" s="15"/>
      <c r="I7" s="15"/>
    </row>
    <row r="9" customFormat="false" ht="30" hidden="false" customHeight="true" outlineLevel="0" collapsed="false">
      <c r="A9" s="24" t="s">
        <v>221</v>
      </c>
      <c r="B9" s="24"/>
      <c r="C9" s="24"/>
      <c r="D9" s="24"/>
      <c r="E9" s="24"/>
      <c r="F9" s="24"/>
      <c r="G9" s="24"/>
      <c r="H9" s="24"/>
      <c r="I9" s="24"/>
    </row>
    <row r="11" customFormat="false" ht="561" hidden="false" customHeight="true" outlineLevel="0" collapsed="false">
      <c r="A11" s="25" t="s">
        <v>222</v>
      </c>
    </row>
  </sheetData>
  <mergeCells count="1"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7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44"/>
  </cols>
  <sheetData>
    <row r="1" customFormat="false" ht="15" hidden="false" customHeight="true" outlineLevel="0" collapsed="false">
      <c r="A1" s="23" t="s">
        <v>223</v>
      </c>
      <c r="B1" s="23" t="s">
        <v>224</v>
      </c>
      <c r="C1" s="23" t="s">
        <v>225</v>
      </c>
      <c r="D1" s="23" t="s">
        <v>226</v>
      </c>
      <c r="E1" s="23" t="s">
        <v>227</v>
      </c>
      <c r="F1" s="23" t="s">
        <v>228</v>
      </c>
      <c r="G1" s="23" t="s">
        <v>229</v>
      </c>
      <c r="H1" s="23" t="s">
        <v>230</v>
      </c>
      <c r="I1" s="23" t="s">
        <v>231</v>
      </c>
    </row>
    <row r="2" customFormat="false" ht="45.75" hidden="false" customHeight="true" outlineLevel="0" collapsed="false">
      <c r="A2" s="15" t="s">
        <v>232</v>
      </c>
      <c r="B2" s="15" t="s">
        <v>233</v>
      </c>
      <c r="C2" s="15" t="s">
        <v>234</v>
      </c>
      <c r="D2" s="20" t="n">
        <v>1450</v>
      </c>
      <c r="E2" s="15" t="n">
        <v>900</v>
      </c>
      <c r="F2" s="15" t="n">
        <v>2</v>
      </c>
      <c r="G2" s="18" t="n">
        <f aca="false">D2-0.28*E2</f>
        <v>1198</v>
      </c>
      <c r="H2" s="18" t="n">
        <f aca="false">G2/F2</f>
        <v>599</v>
      </c>
      <c r="I2" s="15" t="s">
        <v>235</v>
      </c>
    </row>
    <row r="3" customFormat="false" ht="45.75" hidden="false" customHeight="true" outlineLevel="0" collapsed="false">
      <c r="A3" s="15" t="s">
        <v>236</v>
      </c>
      <c r="B3" s="15" t="s">
        <v>237</v>
      </c>
      <c r="C3" s="15" t="s">
        <v>238</v>
      </c>
      <c r="D3" s="20" t="n">
        <v>2400</v>
      </c>
      <c r="E3" s="15" t="n">
        <v>1350</v>
      </c>
      <c r="F3" s="15" t="n">
        <v>3</v>
      </c>
      <c r="G3" s="18" t="n">
        <f aca="false">D3-0.28*E3</f>
        <v>2022</v>
      </c>
      <c r="H3" s="18" t="n">
        <f aca="false">G3/F3</f>
        <v>674</v>
      </c>
      <c r="I3" s="15" t="s">
        <v>239</v>
      </c>
    </row>
    <row r="4" customFormat="false" ht="45.75" hidden="false" customHeight="true" outlineLevel="0" collapsed="false">
      <c r="A4" s="15" t="s">
        <v>240</v>
      </c>
      <c r="B4" s="15" t="s">
        <v>241</v>
      </c>
      <c r="C4" s="15" t="s">
        <v>242</v>
      </c>
      <c r="D4" s="20" t="n">
        <v>1900</v>
      </c>
      <c r="E4" s="15" t="n">
        <v>1050</v>
      </c>
      <c r="F4" s="15" t="n">
        <v>2.5</v>
      </c>
      <c r="G4" s="18" t="n">
        <f aca="false">D4-0.28*E4</f>
        <v>1606</v>
      </c>
      <c r="H4" s="18" t="n">
        <f aca="false">G4/F4</f>
        <v>642.4</v>
      </c>
      <c r="I4" s="15" t="s">
        <v>243</v>
      </c>
    </row>
    <row r="5" customFormat="false" ht="45.75" hidden="false" customHeight="true" outlineLevel="0" collapsed="false">
      <c r="A5" s="15" t="s">
        <v>244</v>
      </c>
      <c r="B5" s="15" t="s">
        <v>245</v>
      </c>
      <c r="C5" s="15" t="s">
        <v>246</v>
      </c>
      <c r="D5" s="20" t="n">
        <v>2300</v>
      </c>
      <c r="E5" s="15" t="n">
        <v>1600</v>
      </c>
      <c r="F5" s="15" t="n">
        <v>3.5</v>
      </c>
      <c r="G5" s="18" t="n">
        <f aca="false">D5-0.28*E5</f>
        <v>1852</v>
      </c>
      <c r="H5" s="18" t="n">
        <f aca="false">G5/F5</f>
        <v>529.142857142857</v>
      </c>
      <c r="I5" s="15" t="s">
        <v>247</v>
      </c>
    </row>
    <row r="7" customFormat="false" ht="15" hidden="false" customHeight="true" outlineLevel="0" collapsed="false">
      <c r="A7" s="24" t="s">
        <v>248</v>
      </c>
      <c r="B7" s="24"/>
      <c r="C7" s="24"/>
      <c r="D7" s="24"/>
      <c r="E7" s="24"/>
      <c r="F7" s="24"/>
      <c r="G7" s="24"/>
      <c r="H7" s="24"/>
      <c r="I7" s="24"/>
    </row>
  </sheetData>
  <mergeCells count="1">
    <mergeCell ref="A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2026-08-21T23:31:38Z</dcterms:created>
  <dc:creator>openpyxl</dc:creator>
  <dc:description/>
  <dc:language>en-US</dc:language>
  <cp:lastModifiedBy/>
  <dcterms:modified xsi:type="dcterms:W3CDTF">2026-08-22T13:26:07Z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